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 defaultThemeVersion="124226"/>
  <bookViews>
    <workbookView xWindow="240" yWindow="30" windowWidth="15480" windowHeight="8835" firstSheet="3" activeTab="7"/>
  </bookViews>
  <sheets>
    <sheet name="Tutorial 1 - Basics" sheetId="2" r:id="rId1"/>
    <sheet name="Tutorial 2 - Area of Circle" sheetId="3" r:id="rId2"/>
    <sheet name="Tutorial 3 - Project Management" sheetId="4" r:id="rId3"/>
    <sheet name="MonteCarlito" sheetId="1" r:id="rId4"/>
    <sheet name="ClassExample_1" sheetId="5" r:id="rId5"/>
    <sheet name="Max_Variation" sheetId="6" r:id="rId6"/>
    <sheet name="ClassExample_2" sheetId="7" r:id="rId7"/>
    <sheet name="ClassExample_3" sheetId="8" r:id="rId8"/>
  </sheets>
  <definedNames>
    <definedName name="ZA0" localSheetId="3">"Crystal Ball Data : Ver. 5.5"</definedName>
    <definedName name="ZA0A" localSheetId="3">0+0</definedName>
    <definedName name="ZA0C" localSheetId="3">0+0</definedName>
    <definedName name="ZA0D" localSheetId="3">0+0</definedName>
    <definedName name="ZA0F" localSheetId="3">0+102</definedName>
    <definedName name="ZA0T" localSheetId="3">31076515+0</definedName>
  </definedNames>
  <calcPr calcId="125725"/>
</workbook>
</file>

<file path=xl/calcChain.xml><?xml version="1.0" encoding="utf-8"?>
<calcChain xmlns="http://schemas.openxmlformats.org/spreadsheetml/2006/main">
  <c r="J19" i="8"/>
  <c r="S14" s="1"/>
  <c r="U14" s="1"/>
  <c r="J18"/>
  <c r="S13" s="1"/>
  <c r="T13" s="1"/>
  <c r="J17"/>
  <c r="S12" s="1"/>
  <c r="U12" s="1"/>
  <c r="J16"/>
  <c r="S11" s="1"/>
  <c r="U11" s="1"/>
  <c r="J15"/>
  <c r="S10" s="1"/>
  <c r="U10" s="1"/>
  <c r="K19"/>
  <c r="R14" s="1"/>
  <c r="K18"/>
  <c r="R13" s="1"/>
  <c r="K17"/>
  <c r="R12" s="1"/>
  <c r="K16"/>
  <c r="R11" s="1"/>
  <c r="K15"/>
  <c r="R10" s="1"/>
  <c r="C19"/>
  <c r="S31" s="1"/>
  <c r="U31" s="1"/>
  <c r="C18"/>
  <c r="S30" s="1"/>
  <c r="U30" s="1"/>
  <c r="C17"/>
  <c r="S29" s="1"/>
  <c r="U29" s="1"/>
  <c r="C16"/>
  <c r="S28" s="1"/>
  <c r="T28" s="1"/>
  <c r="C15"/>
  <c r="S27" s="1"/>
  <c r="U27" s="1"/>
  <c r="D19"/>
  <c r="R31" s="1"/>
  <c r="D18"/>
  <c r="R30" s="1"/>
  <c r="D17"/>
  <c r="R29" s="1"/>
  <c r="D16"/>
  <c r="R28" s="1"/>
  <c r="D15"/>
  <c r="R27" s="1"/>
  <c r="K51"/>
  <c r="K59" s="1"/>
  <c r="J51"/>
  <c r="J61" s="1"/>
  <c r="I51"/>
  <c r="H51"/>
  <c r="H60" s="1"/>
  <c r="G51"/>
  <c r="G61" s="1"/>
  <c r="F51"/>
  <c r="E72"/>
  <c r="E71"/>
  <c r="E70"/>
  <c r="E69"/>
  <c r="E68"/>
  <c r="E67"/>
  <c r="E66"/>
  <c r="E67" i="7"/>
  <c r="E68"/>
  <c r="E69"/>
  <c r="E70"/>
  <c r="E71"/>
  <c r="E72"/>
  <c r="E66"/>
  <c r="G56"/>
  <c r="H56"/>
  <c r="J56"/>
  <c r="K56"/>
  <c r="G57"/>
  <c r="H57"/>
  <c r="J57"/>
  <c r="K57"/>
  <c r="G58"/>
  <c r="H58"/>
  <c r="J58"/>
  <c r="K58"/>
  <c r="G59"/>
  <c r="H59"/>
  <c r="J59"/>
  <c r="K59"/>
  <c r="G60"/>
  <c r="H60"/>
  <c r="J60"/>
  <c r="K60"/>
  <c r="G61"/>
  <c r="H61"/>
  <c r="J61"/>
  <c r="K61"/>
  <c r="G55"/>
  <c r="H55"/>
  <c r="J55"/>
  <c r="K55"/>
  <c r="R28"/>
  <c r="S28"/>
  <c r="T28" s="1"/>
  <c r="R29"/>
  <c r="S29"/>
  <c r="T29" s="1"/>
  <c r="R30"/>
  <c r="S30"/>
  <c r="T30" s="1"/>
  <c r="R31"/>
  <c r="S31"/>
  <c r="T31" s="1"/>
  <c r="S27"/>
  <c r="T27" s="1"/>
  <c r="R27"/>
  <c r="U29"/>
  <c r="R14"/>
  <c r="R13"/>
  <c r="R12"/>
  <c r="R11"/>
  <c r="R10"/>
  <c r="S14"/>
  <c r="U14" s="1"/>
  <c r="S13"/>
  <c r="U13" s="1"/>
  <c r="S12"/>
  <c r="U12" s="1"/>
  <c r="S11"/>
  <c r="T11" s="1"/>
  <c r="S10"/>
  <c r="T10" s="1"/>
  <c r="T12" i="8" l="1"/>
  <c r="T11"/>
  <c r="T10"/>
  <c r="T31"/>
  <c r="T30"/>
  <c r="T29"/>
  <c r="T14"/>
  <c r="T27"/>
  <c r="H59"/>
  <c r="H56"/>
  <c r="H55"/>
  <c r="H58"/>
  <c r="H57"/>
  <c r="H61"/>
  <c r="K56"/>
  <c r="G58"/>
  <c r="K60"/>
  <c r="G55"/>
  <c r="K57"/>
  <c r="G59"/>
  <c r="K61"/>
  <c r="G56"/>
  <c r="K58"/>
  <c r="G60"/>
  <c r="K55"/>
  <c r="G57"/>
  <c r="J55"/>
  <c r="J56"/>
  <c r="J57"/>
  <c r="J58"/>
  <c r="J59"/>
  <c r="J60"/>
  <c r="U13"/>
  <c r="U28"/>
  <c r="U10" i="7"/>
  <c r="U30"/>
  <c r="U28"/>
  <c r="U27"/>
  <c r="U31"/>
  <c r="U11"/>
  <c r="T12"/>
  <c r="T14"/>
  <c r="T13"/>
  <c r="D8" i="5"/>
  <c r="E8" s="1"/>
  <c r="F8" s="1"/>
  <c r="F7" s="1"/>
  <c r="G18" s="1"/>
  <c r="D9"/>
  <c r="E9" s="1"/>
  <c r="F9" s="1"/>
  <c r="F10" s="1"/>
  <c r="G31" s="1"/>
  <c r="D14"/>
  <c r="E14" s="1"/>
  <c r="F14" s="1"/>
  <c r="H31" s="1"/>
  <c r="D12"/>
  <c r="E12" s="1"/>
  <c r="F12" s="1"/>
  <c r="H22" s="1"/>
  <c r="D13"/>
  <c r="E13" s="1"/>
  <c r="F13" s="1"/>
  <c r="H27" s="1"/>
  <c r="D11"/>
  <c r="E11" s="1"/>
  <c r="F11" s="1"/>
  <c r="H18" s="1"/>
  <c r="G32" i="4"/>
  <c r="I34"/>
  <c r="I35" s="1"/>
  <c r="G30"/>
  <c r="G34" s="1"/>
  <c r="G35" s="1"/>
  <c r="G17"/>
  <c r="G18"/>
  <c r="B35" i="3"/>
  <c r="E38"/>
  <c r="D24"/>
  <c r="E24"/>
  <c r="D28" i="2"/>
  <c r="D32" s="1"/>
  <c r="D36" s="1"/>
  <c r="D39" s="1"/>
  <c r="D48" s="1"/>
  <c r="J18" i="1"/>
  <c r="K11"/>
  <c r="J11"/>
  <c r="E15"/>
  <c r="D15"/>
  <c r="C15"/>
  <c r="R33" i="8" l="1" a="1"/>
  <c r="S36" s="1"/>
  <c r="R16" a="1"/>
  <c r="U20" s="1"/>
  <c r="R33" i="7" a="1"/>
  <c r="R35" s="1"/>
  <c r="R16" a="1"/>
  <c r="R17" s="1"/>
  <c r="G27" i="5"/>
  <c r="E29" s="1"/>
  <c r="G22"/>
  <c r="E21" s="1"/>
  <c r="E26" i="3"/>
  <c r="E32" s="1"/>
  <c r="G21" i="4"/>
  <c r="R34" i="8" l="1"/>
  <c r="R36"/>
  <c r="U33"/>
  <c r="U35"/>
  <c r="U37"/>
  <c r="T34"/>
  <c r="T36"/>
  <c r="S33"/>
  <c r="S35"/>
  <c r="S37"/>
  <c r="R33"/>
  <c r="R35"/>
  <c r="R37"/>
  <c r="U34"/>
  <c r="U36"/>
  <c r="T33"/>
  <c r="T35"/>
  <c r="T37"/>
  <c r="S34"/>
  <c r="T16"/>
  <c r="T20"/>
  <c r="S19"/>
  <c r="R18"/>
  <c r="U17"/>
  <c r="T18"/>
  <c r="S17"/>
  <c r="R16"/>
  <c r="R20"/>
  <c r="U19"/>
  <c r="T17"/>
  <c r="T19"/>
  <c r="S16"/>
  <c r="S18"/>
  <c r="S20"/>
  <c r="R17"/>
  <c r="R19"/>
  <c r="U16"/>
  <c r="U18"/>
  <c r="U33" i="7"/>
  <c r="U37"/>
  <c r="T36"/>
  <c r="S35"/>
  <c r="R34"/>
  <c r="U36"/>
  <c r="T35"/>
  <c r="S34"/>
  <c r="R33"/>
  <c r="R37"/>
  <c r="U35"/>
  <c r="T34"/>
  <c r="S33"/>
  <c r="S37"/>
  <c r="R36"/>
  <c r="U34"/>
  <c r="T33"/>
  <c r="T37"/>
  <c r="S36"/>
  <c r="T17"/>
  <c r="R20"/>
  <c r="R19"/>
  <c r="R18"/>
  <c r="S18"/>
  <c r="R16"/>
  <c r="S20"/>
  <c r="S19"/>
  <c r="U19"/>
  <c r="T16"/>
  <c r="S17"/>
  <c r="S16"/>
  <c r="U20"/>
  <c r="T18"/>
  <c r="U17"/>
  <c r="U18"/>
  <c r="T20"/>
  <c r="T19"/>
  <c r="U16"/>
  <c r="E34" i="5"/>
  <c r="D20" s="1"/>
  <c r="F48" i="8" l="1"/>
  <c r="F60" s="1"/>
  <c r="F44"/>
  <c r="F56" s="1"/>
  <c r="F47"/>
  <c r="F59" s="1"/>
  <c r="F45"/>
  <c r="F57" s="1"/>
  <c r="F46"/>
  <c r="F58" s="1"/>
  <c r="F43"/>
  <c r="F55" s="1"/>
  <c r="F49"/>
  <c r="F61" s="1"/>
  <c r="V30"/>
  <c r="V28"/>
  <c r="V12"/>
  <c r="V29"/>
  <c r="I49"/>
  <c r="I61" s="1"/>
  <c r="V14"/>
  <c r="I46"/>
  <c r="I58" s="1"/>
  <c r="V31"/>
  <c r="I45"/>
  <c r="I57" s="1"/>
  <c r="V10"/>
  <c r="V13"/>
  <c r="I44"/>
  <c r="I56" s="1"/>
  <c r="I48"/>
  <c r="I60" s="1"/>
  <c r="V27"/>
  <c r="V11"/>
  <c r="I47"/>
  <c r="I59" s="1"/>
  <c r="I43"/>
  <c r="I55" s="1"/>
  <c r="F46" i="7"/>
  <c r="F58" s="1"/>
  <c r="F43"/>
  <c r="F55" s="1"/>
  <c r="F45"/>
  <c r="F57" s="1"/>
  <c r="F49"/>
  <c r="F61" s="1"/>
  <c r="F44"/>
  <c r="F56" s="1"/>
  <c r="F48"/>
  <c r="F60" s="1"/>
  <c r="F47"/>
  <c r="F59" s="1"/>
  <c r="F70" s="1"/>
  <c r="G70" s="1"/>
  <c r="I47"/>
  <c r="I59" s="1"/>
  <c r="I46"/>
  <c r="I58" s="1"/>
  <c r="I43"/>
  <c r="I55" s="1"/>
  <c r="I45"/>
  <c r="I57" s="1"/>
  <c r="I49"/>
  <c r="I61" s="1"/>
  <c r="I44"/>
  <c r="I56" s="1"/>
  <c r="I48"/>
  <c r="I60" s="1"/>
  <c r="V29"/>
  <c r="V27"/>
  <c r="V28"/>
  <c r="V30"/>
  <c r="V31"/>
  <c r="V14"/>
  <c r="V12"/>
  <c r="V11"/>
  <c r="V10"/>
  <c r="V13"/>
  <c r="F72" i="8" l="1"/>
  <c r="G72" s="1"/>
  <c r="F71"/>
  <c r="G71" s="1"/>
  <c r="F70"/>
  <c r="G70" s="1"/>
  <c r="F69"/>
  <c r="G69" s="1"/>
  <c r="F68"/>
  <c r="G68" s="1"/>
  <c r="F67"/>
  <c r="G67" s="1"/>
  <c r="F66"/>
  <c r="G66" s="1"/>
  <c r="F67" i="7"/>
  <c r="G67" s="1"/>
  <c r="F68"/>
  <c r="G68" s="1"/>
  <c r="F69"/>
  <c r="G69" s="1"/>
  <c r="F71"/>
  <c r="G71" s="1"/>
  <c r="F72"/>
  <c r="G72" s="1"/>
  <c r="F66"/>
  <c r="G66" s="1"/>
  <c r="D76" i="8" l="1"/>
  <c r="E82" s="1"/>
</calcChain>
</file>

<file path=xl/sharedStrings.xml><?xml version="1.0" encoding="utf-8"?>
<sst xmlns="http://schemas.openxmlformats.org/spreadsheetml/2006/main" count="341" uniqueCount="166">
  <si>
    <t>Mean</t>
  </si>
  <si>
    <t>Standard error</t>
  </si>
  <si>
    <t>Standard deviation</t>
  </si>
  <si>
    <t>Median</t>
  </si>
  <si>
    <t>Variance</t>
  </si>
  <si>
    <t>Skewness</t>
  </si>
  <si>
    <t>Kurtosis</t>
  </si>
  <si>
    <t>1. Put all N formulas you want to simulate next to each other, preceded by the number of trials you want to run.</t>
  </si>
  <si>
    <t>Note:</t>
  </si>
  <si>
    <t>- If the number of trials is negative, simulation is run in high-speed mode with minimized windows.</t>
  </si>
  <si>
    <t>- If the cell with the number of trials has bold font type, histograms are created at end of simulation run.</t>
  </si>
  <si>
    <t>Distributed under terms of GNU General Public License</t>
  </si>
  <si>
    <t>- If you select less than 7 rows of cells beneath formulas, you get less output.</t>
  </si>
  <si>
    <t>3. Run macro "simulate" or press Ctrl+W to run simulation. Result:</t>
  </si>
  <si>
    <t>Instructions:</t>
  </si>
  <si>
    <t>a) Select range I11:K13; press Ctrl+W.</t>
  </si>
  <si>
    <t>Examples:</t>
  </si>
  <si>
    <t>b) Select range I18:J21; press Ctrl+W (a new workbook will be created with histogram).</t>
  </si>
  <si>
    <t>2. Select the N+1 cells and the 7x(N+1) cells beneath (indicated by frame).</t>
  </si>
  <si>
    <t>www.montecarlito.com</t>
  </si>
  <si>
    <t>MonteCarlito 1.10</t>
  </si>
  <si>
    <t>Martin Auer, 2004-2010</t>
  </si>
  <si>
    <t>MonteCarlito</t>
  </si>
  <si>
    <t>Example 1:  Basics</t>
  </si>
  <si>
    <t>This tutorial explains how MonteCarlito can be used to run Monte Carlo</t>
  </si>
  <si>
    <t>simulations in Excel.</t>
  </si>
  <si>
    <t>Monte Carlo simulations are often used to compute mathematical functions</t>
  </si>
  <si>
    <t>where no fast, analytical solution exists (e.g., some financial functions,</t>
  </si>
  <si>
    <t>or integrals), or to look at the statistical behaviour of complex systems.</t>
  </si>
  <si>
    <t>Basically, in a Monte Carlo simulation you analyze a random function, often to</t>
  </si>
  <si>
    <t>get its average result (its so-called "expected value").  Say you are offered</t>
  </si>
  <si>
    <t xml:space="preserve">to play the following game:  you throw a dice, and get 1$ it you throw 1, </t>
  </si>
  <si>
    <t xml:space="preserve">4$ if 2, 9$ if 3, 16$ if 4, 25$ if 5, and 36$ if 6.  </t>
  </si>
  <si>
    <t>To answer that question, you determine the expected profit/loss;  an easy way</t>
  </si>
  <si>
    <t>to do this is to simulate the game many times and average the individual outcomes.</t>
  </si>
  <si>
    <t>To simulate this in Excel, first you need to create a random number from 0-1 with RAND():</t>
  </si>
  <si>
    <t>(press F9 several times to see how this number changes.)</t>
  </si>
  <si>
    <t>From this, derive a dice using a mathematical function:</t>
  </si>
  <si>
    <t>(again, press F9 several times to see how this number changes.)</t>
  </si>
  <si>
    <t>To play the game once, determine the profit of the dice throw, and subtract the costs:</t>
  </si>
  <si>
    <t>Random number:</t>
  </si>
  <si>
    <t>Dice:</t>
  </si>
  <si>
    <t>Game profit:</t>
  </si>
  <si>
    <t>Costs:</t>
  </si>
  <si>
    <t xml:space="preserve">Pressing F9 repeatedly reveals that sometimes you win, sometimes you lose money. </t>
  </si>
  <si>
    <t>MonteCarlito is a tool to help you with that.</t>
  </si>
  <si>
    <t>If you repeat this many times and analyze the outcomes, you can determine if you should play.</t>
  </si>
  <si>
    <t>One game's profit/loss:</t>
  </si>
  <si>
    <t>Just put the result of one (random) outcome in any cell, and write "1000" next to it:</t>
  </si>
  <si>
    <t>But you also have to pay 14$ upfront to participate.  Would you play that game?</t>
  </si>
  <si>
    <t>(check with F9 it the outcome still changes)</t>
  </si>
  <si>
    <t>Now, select the whole light blue area (2x2 cells) and press Ctrl+W.</t>
  </si>
  <si>
    <t>repeat this 1000 times, and count the number of throws landing in the circle area (call it C) and</t>
  </si>
  <si>
    <t>the number of throws landing on the rectangle, in- or outside the circle (call this number R).</t>
  </si>
  <si>
    <t>Say you forgot the number PI.</t>
  </si>
  <si>
    <t>Monte Carlo simulation is one way to approximate it (and more often, more difficult integrals).</t>
  </si>
  <si>
    <t>You could throw a dart at a 4cm x 4cm sized rectangle with a circle painted on it,</t>
  </si>
  <si>
    <t>The circle area is thus 16xC/R.</t>
  </si>
  <si>
    <t>C/R = circle area/16</t>
  </si>
  <si>
    <t>But it is also r^2 x PI = 2 x 2 x PI</t>
  </si>
  <si>
    <t>Thus PI = 4 x C/R</t>
  </si>
  <si>
    <t>To simulate one dart throw, first create two random numbers (the x and y coordinate) between -2 and 2:</t>
  </si>
  <si>
    <t>Throw to coordinates:</t>
  </si>
  <si>
    <t>x</t>
  </si>
  <si>
    <t>y</t>
  </si>
  <si>
    <t>(press F9 a few times to make sure that the throw is between -2 and 2 in both axes)</t>
  </si>
  <si>
    <t>Check if it is inside the circle:</t>
  </si>
  <si>
    <t>(1=inside circle, 0 outside)</t>
  </si>
  <si>
    <t>Now, use MonteCarlito with 1000 throws (ie, R=1000):</t>
  </si>
  <si>
    <t>(select blue area and press Ctrl+W)</t>
  </si>
  <si>
    <t>is the number of circle hits C</t>
  </si>
  <si>
    <t>is the number of throws R</t>
  </si>
  <si>
    <t>Estimated PI = 4 x C/R:</t>
  </si>
  <si>
    <t>Example 2:  Area of the circle</t>
  </si>
  <si>
    <t>The ratio of C/R should be fairly similar to the ratio of the circle area and the rectangle area (which is 4 x 4 = 16):</t>
  </si>
  <si>
    <t>Example 2:  Project management</t>
  </si>
  <si>
    <t>Project planning tools assign effort estimates to subtasks.</t>
  </si>
  <si>
    <t>Total project effort is the sum of the individual efforts.</t>
  </si>
  <si>
    <t>It's more realistic to treat the subtasks as having random efforts,</t>
  </si>
  <si>
    <t>A very similar issue arises when computing financial measure like the value-at-risk (VAR).</t>
  </si>
  <si>
    <t>the total effort is the sum of those random variables.</t>
  </si>
  <si>
    <t>MonteCarlito can not only answer the expected total effort, but</t>
  </si>
  <si>
    <t>also its distribution, and thus answer questions like "what are the 10% of outcomes that are worst?"</t>
  </si>
  <si>
    <t>Subtask 1, between 20 and 30 days:</t>
  </si>
  <si>
    <t>Subtask 2, usually 15 days, but sometimes much longer:</t>
  </si>
  <si>
    <t>Total effort:</t>
  </si>
  <si>
    <t>Select the blue area and press Ctrl+W.</t>
  </si>
  <si>
    <t>The expected total effort is:</t>
  </si>
  <si>
    <t>The standard deviation*1.96 is:</t>
  </si>
  <si>
    <t>This means roughly that in 95% of all outcomes, the effort is between</t>
  </si>
  <si>
    <t>plus</t>
  </si>
  <si>
    <t>and</t>
  </si>
  <si>
    <t>minus</t>
  </si>
  <si>
    <t>MonteCarlito runs the simulation 1000 times, and gives you the average result.  If it's positive, you should play!</t>
  </si>
  <si>
    <t>Probability of fair attendance</t>
  </si>
  <si>
    <t>Probability of poor attendance</t>
  </si>
  <si>
    <t>Probability of no rain</t>
  </si>
  <si>
    <t>Probability of rain</t>
  </si>
  <si>
    <t>Payoff of fair attendance</t>
  </si>
  <si>
    <t>Payoff of very poor attendance</t>
  </si>
  <si>
    <t>Estimated Value from Excersize</t>
  </si>
  <si>
    <t>Payoff of excellent attendance</t>
  </si>
  <si>
    <t>Payoff of poor attendance</t>
  </si>
  <si>
    <t xml:space="preserve">Random Variation </t>
  </si>
  <si>
    <t>Maximum Variation</t>
  </si>
  <si>
    <t>Settings</t>
  </si>
  <si>
    <t>Maximum Variation of Values (%)</t>
  </si>
  <si>
    <t>New Value</t>
  </si>
  <si>
    <t>Indoors</t>
  </si>
  <si>
    <t>Outdoors</t>
  </si>
  <si>
    <t>Attendance Fair</t>
  </si>
  <si>
    <t>Attendance Very Poor</t>
  </si>
  <si>
    <t>No rain, attendance excellent</t>
  </si>
  <si>
    <t>Rain, attendance poor</t>
  </si>
  <si>
    <t>Probabilities</t>
  </si>
  <si>
    <t>Payoffs</t>
  </si>
  <si>
    <t>Expected Value</t>
  </si>
  <si>
    <t>OUTDOORS</t>
  </si>
  <si>
    <t>INDOORS</t>
  </si>
  <si>
    <t>CHOICE (1=Indoors, 0=Outdoors):</t>
  </si>
  <si>
    <t>#Iterations</t>
  </si>
  <si>
    <t>Results</t>
  </si>
  <si>
    <t>Maximum Variation Allowed</t>
  </si>
  <si>
    <t>% of times "Indoor" choice is best</t>
  </si>
  <si>
    <t>SMART: Uncertainty / Sensitivity Analysis Example</t>
  </si>
  <si>
    <t>Office</t>
  </si>
  <si>
    <t>Addison Square</t>
  </si>
  <si>
    <t>Bilton Village</t>
  </si>
  <si>
    <t>Corlisle Walk</t>
  </si>
  <si>
    <t>Denver Street</t>
  </si>
  <si>
    <t>Elton Street</t>
  </si>
  <si>
    <t>Filton Village</t>
  </si>
  <si>
    <t>Gorton Square</t>
  </si>
  <si>
    <t>Costs</t>
  </si>
  <si>
    <t>Rent</t>
  </si>
  <si>
    <t>Electric</t>
  </si>
  <si>
    <t>Cleaning</t>
  </si>
  <si>
    <t>Distance to Customers</t>
  </si>
  <si>
    <t>Visibility</t>
  </si>
  <si>
    <t>Image</t>
  </si>
  <si>
    <t>Size</t>
  </si>
  <si>
    <t>Comfort</t>
  </si>
  <si>
    <t>Car Parking</t>
  </si>
  <si>
    <t>Benefits</t>
  </si>
  <si>
    <t>Image Ranks</t>
  </si>
  <si>
    <t>Comfort Ranks</t>
  </si>
  <si>
    <t>Turning Point</t>
  </si>
  <si>
    <t>Value</t>
  </si>
  <si>
    <t>TP^2</t>
  </si>
  <si>
    <t>TP^3</t>
  </si>
  <si>
    <t>LINEST</t>
  </si>
  <si>
    <t>Office Size Polynomial Calculation</t>
  </si>
  <si>
    <t>Distance to Customers Polynomial Calculation</t>
  </si>
  <si>
    <t>Weights</t>
  </si>
  <si>
    <t>Total Costs</t>
  </si>
  <si>
    <t>Total Benefits</t>
  </si>
  <si>
    <t>Cost:Benefit</t>
  </si>
  <si>
    <t>Monte Carlo Controls</t>
  </si>
  <si>
    <t># of Runs</t>
  </si>
  <si>
    <t>Value to Test</t>
  </si>
  <si>
    <t>HIGHLIGHT cells D82:E88, 
and hit ctrl+w</t>
  </si>
  <si>
    <t>Turning Point Variation Test</t>
  </si>
  <si>
    <t>Weight Variation Value</t>
  </si>
  <si>
    <t>Does Corlisle have the lowest Cost:benefit ratio? (1=Yes, 0=No)</t>
  </si>
  <si>
    <t>% Value Variation to Test</t>
  </si>
  <si>
    <t>% Turning Point Variation Test</t>
  </si>
</sst>
</file>

<file path=xl/styles.xml><?xml version="1.0" encoding="utf-8"?>
<styleSheet xmlns="http://schemas.openxmlformats.org/spreadsheetml/2006/main">
  <numFmts count="2">
    <numFmt numFmtId="164" formatCode="0.0000"/>
    <numFmt numFmtId="165" formatCode="0.000"/>
  </numFmts>
  <fonts count="10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1"/>
      <color rgb="FF3F3F76"/>
      <name val="Calibri"/>
      <family val="2"/>
      <scheme val="minor"/>
    </font>
    <font>
      <b/>
      <u/>
      <sz val="10"/>
      <name val="Arial"/>
      <family val="2"/>
    </font>
    <font>
      <b/>
      <sz val="11"/>
      <color rgb="FF3F3F76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CC9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7F7F7F"/>
      </bottom>
      <diagonal/>
    </border>
    <border>
      <left style="thin">
        <color rgb="FFFF0000"/>
      </left>
      <right style="thin">
        <color rgb="FFFF0000"/>
      </right>
      <top style="thin">
        <color rgb="FF7F7F7F"/>
      </top>
      <bottom style="thin">
        <color rgb="FF7F7F7F"/>
      </bottom>
      <diagonal/>
    </border>
    <border>
      <left style="thin">
        <color rgb="FFFF0000"/>
      </left>
      <right style="thin">
        <color rgb="FFFF0000"/>
      </right>
      <top style="thin">
        <color rgb="FF7F7F7F"/>
      </top>
      <bottom style="thin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3" borderId="15" applyNumberFormat="0" applyAlignment="0" applyProtection="0"/>
  </cellStyleXfs>
  <cellXfs count="173">
    <xf numFmtId="0" fontId="0" fillId="0" borderId="0" xfId="0"/>
    <xf numFmtId="0" fontId="2" fillId="0" borderId="0" xfId="0" applyFont="1"/>
    <xf numFmtId="0" fontId="3" fillId="0" borderId="0" xfId="0" applyFont="1" applyFill="1" applyBorder="1"/>
    <xf numFmtId="164" fontId="0" fillId="0" borderId="1" xfId="0" applyNumberFormat="1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2" borderId="7" xfId="0" applyFont="1" applyFill="1" applyBorder="1" applyAlignment="1">
      <alignment horizontal="left"/>
    </xf>
    <xf numFmtId="164" fontId="0" fillId="2" borderId="1" xfId="0" applyNumberFormat="1" applyFill="1" applyBorder="1"/>
    <xf numFmtId="164" fontId="0" fillId="2" borderId="2" xfId="0" applyNumberFormat="1" applyFill="1" applyBorder="1"/>
    <xf numFmtId="0" fontId="0" fillId="2" borderId="3" xfId="0" applyFill="1" applyBorder="1"/>
    <xf numFmtId="0" fontId="0" fillId="2" borderId="5" xfId="0" applyFill="1" applyBorder="1"/>
    <xf numFmtId="0" fontId="0" fillId="0" borderId="0" xfId="0" quotePrefix="1"/>
    <xf numFmtId="0" fontId="3" fillId="0" borderId="0" xfId="0" applyFont="1"/>
    <xf numFmtId="0" fontId="0" fillId="0" borderId="8" xfId="0" applyBorder="1"/>
    <xf numFmtId="164" fontId="0" fillId="2" borderId="0" xfId="0" applyNumberFormat="1" applyFill="1" applyBorder="1"/>
    <xf numFmtId="164" fontId="0" fillId="2" borderId="4" xfId="0" applyNumberFormat="1" applyFill="1" applyBorder="1"/>
    <xf numFmtId="164" fontId="0" fillId="2" borderId="9" xfId="0" applyNumberFormat="1" applyFill="1" applyBorder="1"/>
    <xf numFmtId="164" fontId="0" fillId="2" borderId="6" xfId="0" applyNumberFormat="1" applyFill="1" applyBorder="1"/>
    <xf numFmtId="0" fontId="0" fillId="0" borderId="7" xfId="0" applyBorder="1" applyAlignment="1">
      <alignment horizontal="left"/>
    </xf>
    <xf numFmtId="164" fontId="0" fillId="0" borderId="0" xfId="0" applyNumberFormat="1" applyBorder="1"/>
    <xf numFmtId="164" fontId="0" fillId="0" borderId="4" xfId="0" applyNumberFormat="1" applyBorder="1"/>
    <xf numFmtId="164" fontId="0" fillId="0" borderId="9" xfId="0" applyNumberFormat="1" applyBorder="1"/>
    <xf numFmtId="164" fontId="0" fillId="0" borderId="6" xfId="0" applyNumberFormat="1" applyBorder="1"/>
    <xf numFmtId="0" fontId="0" fillId="0" borderId="2" xfId="0" applyBorder="1"/>
    <xf numFmtId="0" fontId="3" fillId="0" borderId="7" xfId="0" applyFont="1" applyBorder="1" applyAlignment="1">
      <alignment horizontal="left"/>
    </xf>
    <xf numFmtId="0" fontId="4" fillId="0" borderId="0" xfId="1" applyAlignment="1" applyProtection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" borderId="4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2" xfId="0" applyFill="1" applyBorder="1"/>
    <xf numFmtId="165" fontId="0" fillId="2" borderId="6" xfId="0" applyNumberFormat="1" applyFill="1" applyBorder="1"/>
    <xf numFmtId="165" fontId="0" fillId="0" borderId="10" xfId="0" applyNumberForma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5" fillId="3" borderId="15" xfId="2"/>
    <xf numFmtId="10" fontId="0" fillId="0" borderId="0" xfId="0" applyNumberFormat="1"/>
    <xf numFmtId="0" fontId="3" fillId="6" borderId="7" xfId="0" applyFont="1" applyFill="1" applyBorder="1"/>
    <xf numFmtId="0" fontId="3" fillId="6" borderId="2" xfId="0" applyFont="1" applyFill="1" applyBorder="1"/>
    <xf numFmtId="0" fontId="3" fillId="6" borderId="5" xfId="0" applyFont="1" applyFill="1" applyBorder="1"/>
    <xf numFmtId="10" fontId="3" fillId="6" borderId="6" xfId="0" applyNumberFormat="1" applyFont="1" applyFill="1" applyBorder="1"/>
    <xf numFmtId="0" fontId="2" fillId="0" borderId="1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16" xfId="0" applyFill="1" applyBorder="1"/>
    <xf numFmtId="0" fontId="0" fillId="8" borderId="16" xfId="0" applyFill="1" applyBorder="1" applyAlignment="1">
      <alignment horizontal="center"/>
    </xf>
    <xf numFmtId="0" fontId="0" fillId="8" borderId="16" xfId="0" applyFill="1" applyBorder="1"/>
    <xf numFmtId="0" fontId="0" fillId="9" borderId="16" xfId="0" applyFill="1" applyBorder="1" applyAlignment="1">
      <alignment horizontal="center"/>
    </xf>
    <xf numFmtId="0" fontId="0" fillId="9" borderId="16" xfId="0" applyFill="1" applyBorder="1"/>
    <xf numFmtId="0" fontId="0" fillId="5" borderId="16" xfId="0" applyFill="1" applyBorder="1" applyAlignment="1">
      <alignment horizontal="center"/>
    </xf>
    <xf numFmtId="0" fontId="0" fillId="5" borderId="16" xfId="0" applyFill="1" applyBorder="1"/>
    <xf numFmtId="0" fontId="0" fillId="9" borderId="18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7" fillId="7" borderId="17" xfId="2" applyFont="1" applyFill="1" applyBorder="1"/>
    <xf numFmtId="0" fontId="7" fillId="8" borderId="17" xfId="2" applyFont="1" applyFill="1" applyBorder="1"/>
    <xf numFmtId="0" fontId="7" fillId="9" borderId="17" xfId="2" applyFont="1" applyFill="1" applyBorder="1"/>
    <xf numFmtId="0" fontId="7" fillId="5" borderId="17" xfId="2" applyFont="1" applyFill="1" applyBorder="1"/>
    <xf numFmtId="0" fontId="5" fillId="3" borderId="19" xfId="2" applyBorder="1" applyAlignment="1">
      <alignment horizontal="center" vertical="center" wrapText="1"/>
    </xf>
    <xf numFmtId="0" fontId="5" fillId="7" borderId="20" xfId="2" applyFont="1" applyFill="1" applyBorder="1" applyAlignment="1">
      <alignment horizontal="center"/>
    </xf>
    <xf numFmtId="0" fontId="5" fillId="7" borderId="21" xfId="2" applyFont="1" applyFill="1" applyBorder="1" applyAlignment="1">
      <alignment horizontal="center"/>
    </xf>
    <xf numFmtId="0" fontId="5" fillId="8" borderId="21" xfId="2" applyFont="1" applyFill="1" applyBorder="1" applyAlignment="1">
      <alignment horizontal="center"/>
    </xf>
    <xf numFmtId="0" fontId="5" fillId="9" borderId="21" xfId="2" applyFont="1" applyFill="1" applyBorder="1" applyAlignment="1">
      <alignment horizontal="center"/>
    </xf>
    <xf numFmtId="0" fontId="5" fillId="5" borderId="21" xfId="2" applyFont="1" applyFill="1" applyBorder="1" applyAlignment="1">
      <alignment horizontal="center"/>
    </xf>
    <xf numFmtId="0" fontId="5" fillId="5" borderId="22" xfId="2" applyFont="1" applyFill="1" applyBorder="1" applyAlignment="1">
      <alignment horizontal="center"/>
    </xf>
    <xf numFmtId="10" fontId="0" fillId="8" borderId="18" xfId="0" applyNumberFormat="1" applyFill="1" applyBorder="1" applyAlignment="1">
      <alignment horizontal="center"/>
    </xf>
    <xf numFmtId="2" fontId="0" fillId="7" borderId="18" xfId="0" applyNumberFormat="1" applyFill="1" applyBorder="1" applyAlignment="1">
      <alignment horizontal="center"/>
    </xf>
    <xf numFmtId="2" fontId="0" fillId="8" borderId="18" xfId="0" applyNumberFormat="1" applyFill="1" applyBorder="1" applyAlignment="1">
      <alignment horizontal="center"/>
    </xf>
    <xf numFmtId="2" fontId="0" fillId="0" borderId="0" xfId="0" applyNumberFormat="1" applyAlignment="1">
      <alignment horizontal="left"/>
    </xf>
    <xf numFmtId="2" fontId="0" fillId="0" borderId="0" xfId="0" applyNumberFormat="1"/>
    <xf numFmtId="0" fontId="6" fillId="0" borderId="0" xfId="0" applyFont="1"/>
    <xf numFmtId="2" fontId="3" fillId="0" borderId="0" xfId="0" applyNumberFormat="1" applyFont="1" applyAlignment="1">
      <alignment horizontal="left"/>
    </xf>
    <xf numFmtId="0" fontId="6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6" fillId="4" borderId="23" xfId="0" applyFont="1" applyFill="1" applyBorder="1" applyAlignment="1">
      <alignment horizontal="center"/>
    </xf>
    <xf numFmtId="0" fontId="6" fillId="4" borderId="24" xfId="0" applyFont="1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4" borderId="26" xfId="0" applyFill="1" applyBorder="1" applyAlignment="1">
      <alignment horizontal="left"/>
    </xf>
    <xf numFmtId="0" fontId="0" fillId="4" borderId="28" xfId="0" applyFill="1" applyBorder="1" applyAlignment="1">
      <alignment horizontal="left"/>
    </xf>
    <xf numFmtId="9" fontId="0" fillId="0" borderId="0" xfId="0" applyNumberFormat="1"/>
    <xf numFmtId="0" fontId="2" fillId="0" borderId="0" xfId="0" applyFont="1" applyAlignment="1">
      <alignment wrapText="1"/>
    </xf>
    <xf numFmtId="0" fontId="0" fillId="6" borderId="0" xfId="0" applyFill="1" applyBorder="1"/>
    <xf numFmtId="0" fontId="8" fillId="6" borderId="16" xfId="0" applyFont="1" applyFill="1" applyBorder="1"/>
    <xf numFmtId="0" fontId="0" fillId="6" borderId="16" xfId="0" applyFill="1" applyBorder="1"/>
    <xf numFmtId="0" fontId="8" fillId="11" borderId="16" xfId="0" applyFont="1" applyFill="1" applyBorder="1"/>
    <xf numFmtId="0" fontId="0" fillId="11" borderId="16" xfId="0" applyFill="1" applyBorder="1"/>
    <xf numFmtId="0" fontId="2" fillId="0" borderId="3" xfId="0" applyFont="1" applyBorder="1"/>
    <xf numFmtId="0" fontId="2" fillId="0" borderId="4" xfId="0" applyFont="1" applyBorder="1"/>
    <xf numFmtId="0" fontId="2" fillId="0" borderId="7" xfId="0" applyFont="1" applyBorder="1"/>
    <xf numFmtId="0" fontId="0" fillId="0" borderId="1" xfId="0" applyBorder="1"/>
    <xf numFmtId="0" fontId="0" fillId="0" borderId="0" xfId="0" applyBorder="1"/>
    <xf numFmtId="0" fontId="0" fillId="0" borderId="9" xfId="0" applyBorder="1"/>
    <xf numFmtId="0" fontId="2" fillId="0" borderId="0" xfId="0" applyFont="1" applyBorder="1"/>
    <xf numFmtId="0" fontId="6" fillId="8" borderId="7" xfId="0" applyFont="1" applyFill="1" applyBorder="1"/>
    <xf numFmtId="0" fontId="0" fillId="8" borderId="2" xfId="0" applyFill="1" applyBorder="1"/>
    <xf numFmtId="0" fontId="2" fillId="8" borderId="3" xfId="0" applyFont="1" applyFill="1" applyBorder="1"/>
    <xf numFmtId="0" fontId="0" fillId="8" borderId="4" xfId="0" applyFill="1" applyBorder="1"/>
    <xf numFmtId="0" fontId="0" fillId="8" borderId="3" xfId="0" applyFill="1" applyBorder="1"/>
    <xf numFmtId="0" fontId="2" fillId="8" borderId="5" xfId="0" applyFont="1" applyFill="1" applyBorder="1"/>
    <xf numFmtId="0" fontId="0" fillId="8" borderId="6" xfId="0" applyFill="1" applyBorder="1"/>
    <xf numFmtId="0" fontId="8" fillId="8" borderId="16" xfId="0" applyFont="1" applyFill="1" applyBorder="1"/>
    <xf numFmtId="0" fontId="6" fillId="4" borderId="7" xfId="0" applyFont="1" applyFill="1" applyBorder="1"/>
    <xf numFmtId="0" fontId="0" fillId="4" borderId="2" xfId="0" applyFill="1" applyBorder="1"/>
    <xf numFmtId="0" fontId="2" fillId="4" borderId="3" xfId="0" applyFont="1" applyFill="1" applyBorder="1"/>
    <xf numFmtId="0" fontId="0" fillId="4" borderId="4" xfId="0" applyFill="1" applyBorder="1"/>
    <xf numFmtId="0" fontId="0" fillId="4" borderId="3" xfId="0" applyFill="1" applyBorder="1"/>
    <xf numFmtId="0" fontId="2" fillId="4" borderId="5" xfId="0" applyFont="1" applyFill="1" applyBorder="1"/>
    <xf numFmtId="0" fontId="0" fillId="4" borderId="6" xfId="0" applyFill="1" applyBorder="1"/>
    <xf numFmtId="0" fontId="8" fillId="12" borderId="16" xfId="0" applyFont="1" applyFill="1" applyBorder="1"/>
    <xf numFmtId="0" fontId="0" fillId="12" borderId="16" xfId="0" applyFill="1" applyBorder="1"/>
    <xf numFmtId="0" fontId="8" fillId="13" borderId="16" xfId="0" applyFont="1" applyFill="1" applyBorder="1"/>
    <xf numFmtId="1" fontId="0" fillId="13" borderId="16" xfId="0" applyNumberFormat="1" applyFill="1" applyBorder="1"/>
    <xf numFmtId="0" fontId="8" fillId="14" borderId="16" xfId="0" applyFont="1" applyFill="1" applyBorder="1"/>
    <xf numFmtId="1" fontId="0" fillId="14" borderId="16" xfId="0" applyNumberFormat="1" applyFill="1" applyBorder="1"/>
    <xf numFmtId="0" fontId="0" fillId="8" borderId="0" xfId="0" applyFill="1" applyBorder="1"/>
    <xf numFmtId="0" fontId="0" fillId="12" borderId="0" xfId="0" applyFill="1" applyBorder="1"/>
    <xf numFmtId="0" fontId="2" fillId="14" borderId="16" xfId="0" applyFont="1" applyFill="1" applyBorder="1"/>
    <xf numFmtId="0" fontId="2" fillId="6" borderId="16" xfId="0" applyFont="1" applyFill="1" applyBorder="1"/>
    <xf numFmtId="0" fontId="2" fillId="8" borderId="16" xfId="0" applyFont="1" applyFill="1" applyBorder="1"/>
    <xf numFmtId="0" fontId="2" fillId="13" borderId="16" xfId="0" applyFont="1" applyFill="1" applyBorder="1"/>
    <xf numFmtId="0" fontId="2" fillId="12" borderId="16" xfId="0" applyFont="1" applyFill="1" applyBorder="1"/>
    <xf numFmtId="0" fontId="0" fillId="4" borderId="7" xfId="0" applyFill="1" applyBorder="1"/>
    <xf numFmtId="0" fontId="0" fillId="4" borderId="5" xfId="0" applyFill="1" applyBorder="1"/>
    <xf numFmtId="0" fontId="2" fillId="4" borderId="7" xfId="0" applyFont="1" applyFill="1" applyBorder="1"/>
    <xf numFmtId="0" fontId="2" fillId="4" borderId="4" xfId="0" applyFont="1" applyFill="1" applyBorder="1"/>
    <xf numFmtId="0" fontId="9" fillId="0" borderId="0" xfId="0" applyFont="1"/>
    <xf numFmtId="0" fontId="2" fillId="15" borderId="11" xfId="0" applyFont="1" applyFill="1" applyBorder="1"/>
    <xf numFmtId="0" fontId="2" fillId="15" borderId="7" xfId="0" applyFont="1" applyFill="1" applyBorder="1"/>
    <xf numFmtId="0" fontId="0" fillId="15" borderId="1" xfId="0" applyFill="1" applyBorder="1"/>
    <xf numFmtId="0" fontId="0" fillId="15" borderId="2" xfId="0" applyFill="1" applyBorder="1"/>
    <xf numFmtId="0" fontId="0" fillId="15" borderId="9" xfId="0" applyFill="1" applyBorder="1"/>
    <xf numFmtId="0" fontId="0" fillId="15" borderId="6" xfId="0" applyFill="1" applyBorder="1"/>
    <xf numFmtId="0" fontId="2" fillId="16" borderId="11" xfId="0" applyFont="1" applyFill="1" applyBorder="1"/>
    <xf numFmtId="0" fontId="2" fillId="16" borderId="7" xfId="0" applyFont="1" applyFill="1" applyBorder="1"/>
    <xf numFmtId="0" fontId="0" fillId="16" borderId="2" xfId="0" applyFill="1" applyBorder="1"/>
    <xf numFmtId="0" fontId="0" fillId="16" borderId="6" xfId="0" applyFill="1" applyBorder="1"/>
    <xf numFmtId="0" fontId="2" fillId="17" borderId="7" xfId="0" applyFont="1" applyFill="1" applyBorder="1"/>
    <xf numFmtId="0" fontId="0" fillId="17" borderId="1" xfId="0" applyFill="1" applyBorder="1"/>
    <xf numFmtId="0" fontId="0" fillId="17" borderId="2" xfId="0" applyFill="1" applyBorder="1"/>
    <xf numFmtId="0" fontId="0" fillId="17" borderId="5" xfId="0" applyFill="1" applyBorder="1"/>
    <xf numFmtId="0" fontId="0" fillId="17" borderId="9" xfId="0" applyFill="1" applyBorder="1"/>
    <xf numFmtId="0" fontId="0" fillId="17" borderId="6" xfId="0" applyFill="1" applyBorder="1"/>
    <xf numFmtId="2" fontId="0" fillId="14" borderId="16" xfId="0" applyNumberFormat="1" applyFill="1" applyBorder="1"/>
    <xf numFmtId="2" fontId="0" fillId="6" borderId="0" xfId="0" applyNumberFormat="1" applyFill="1" applyBorder="1"/>
    <xf numFmtId="2" fontId="0" fillId="8" borderId="0" xfId="0" applyNumberFormat="1" applyFill="1" applyBorder="1"/>
    <xf numFmtId="2" fontId="0" fillId="13" borderId="16" xfId="0" applyNumberFormat="1" applyFill="1" applyBorder="1"/>
    <xf numFmtId="2" fontId="0" fillId="12" borderId="0" xfId="0" applyNumberFormat="1" applyFill="1" applyBorder="1"/>
    <xf numFmtId="0" fontId="2" fillId="17" borderId="3" xfId="0" applyFont="1" applyFill="1" applyBorder="1"/>
    <xf numFmtId="0" fontId="0" fillId="17" borderId="3" xfId="0" applyFill="1" applyBorder="1"/>
    <xf numFmtId="0" fontId="2" fillId="15" borderId="4" xfId="0" applyFont="1" applyFill="1" applyBorder="1"/>
    <xf numFmtId="0" fontId="0" fillId="15" borderId="4" xfId="0" applyFill="1" applyBorder="1"/>
    <xf numFmtId="0" fontId="2" fillId="17" borderId="5" xfId="0" applyFont="1" applyFill="1" applyBorder="1"/>
    <xf numFmtId="10" fontId="0" fillId="15" borderId="12" xfId="0" applyNumberFormat="1" applyFill="1" applyBorder="1" applyAlignment="1">
      <alignment horizontal="left"/>
    </xf>
    <xf numFmtId="10" fontId="0" fillId="16" borderId="12" xfId="0" applyNumberFormat="1" applyFill="1" applyBorder="1" applyAlignment="1">
      <alignment horizontal="left"/>
    </xf>
    <xf numFmtId="10" fontId="0" fillId="15" borderId="5" xfId="0" applyNumberFormat="1" applyFill="1" applyBorder="1" applyAlignment="1">
      <alignment horizontal="left"/>
    </xf>
    <xf numFmtId="10" fontId="0" fillId="16" borderId="5" xfId="0" applyNumberFormat="1" applyFill="1" applyBorder="1" applyAlignment="1">
      <alignment horizontal="left"/>
    </xf>
    <xf numFmtId="0" fontId="6" fillId="11" borderId="7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0" fontId="6" fillId="6" borderId="7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 wrapText="1"/>
    </xf>
  </cellXfs>
  <cellStyles count="3">
    <cellStyle name="Hyperlink" xfId="1" builtinId="8"/>
    <cellStyle name="Input" xfId="2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Max_Variation!$C$2</c:f>
              <c:strCache>
                <c:ptCount val="1"/>
                <c:pt idx="0">
                  <c:v>% of times "Indoor" choice is best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xVal>
            <c:numRef>
              <c:f>Max_Variation!$B$3:$B$12</c:f>
              <c:numCache>
                <c:formatCode>0%</c:formatCode>
                <c:ptCount val="1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</c:numCache>
            </c:numRef>
          </c:xVal>
          <c:yVal>
            <c:numRef>
              <c:f>Max_Variation!$C$3:$C$12</c:f>
              <c:numCache>
                <c:formatCode>0.00%</c:formatCode>
                <c:ptCount val="10"/>
                <c:pt idx="0">
                  <c:v>0.96499999999999997</c:v>
                </c:pt>
                <c:pt idx="1">
                  <c:v>0.80700000000000005</c:v>
                </c:pt>
                <c:pt idx="2">
                  <c:v>0.72599999999999998</c:v>
                </c:pt>
                <c:pt idx="3">
                  <c:v>0.66400000000000003</c:v>
                </c:pt>
                <c:pt idx="4">
                  <c:v>0.63700000000000001</c:v>
                </c:pt>
                <c:pt idx="5">
                  <c:v>0.65300000000000002</c:v>
                </c:pt>
                <c:pt idx="6">
                  <c:v>0.59099999999999997</c:v>
                </c:pt>
                <c:pt idx="7">
                  <c:v>0.56999999999999995</c:v>
                </c:pt>
                <c:pt idx="8">
                  <c:v>0.58699999999999997</c:v>
                </c:pt>
                <c:pt idx="9">
                  <c:v>0.57899999999999996</c:v>
                </c:pt>
              </c:numCache>
            </c:numRef>
          </c:yVal>
        </c:ser>
        <c:axId val="215304064"/>
        <c:axId val="218813184"/>
      </c:scatterChart>
      <c:valAx>
        <c:axId val="215304064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Maximum Variation Allowed</a:t>
                </a:r>
              </a:p>
            </c:rich>
          </c:tx>
        </c:title>
        <c:numFmt formatCode="0%" sourceLinked="1"/>
        <c:tickLblPos val="nextTo"/>
        <c:crossAx val="218813184"/>
        <c:crosses val="autoZero"/>
        <c:crossBetween val="midCat"/>
      </c:valAx>
      <c:valAx>
        <c:axId val="218813184"/>
        <c:scaling>
          <c:orientation val="minMax"/>
          <c:max val="1"/>
          <c:min val="0.5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% of Times "Indoor" is best solution</a:t>
                </a:r>
              </a:p>
            </c:rich>
          </c:tx>
        </c:title>
        <c:numFmt formatCode="0.00%" sourceLinked="1"/>
        <c:tickLblPos val="nextTo"/>
        <c:crossAx val="215304064"/>
        <c:crosses val="autoZero"/>
        <c:crossBetween val="midCat"/>
      </c:valAx>
    </c:plotArea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ClassExample_2!$D$14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4">
                  <a:lumMod val="50000"/>
                </a:schemeClr>
              </a:solidFill>
            </c:spPr>
          </c:marker>
          <c:trendline>
            <c:spPr>
              <a:ln>
                <a:solidFill>
                  <a:schemeClr val="accent4">
                    <a:lumMod val="75000"/>
                  </a:schemeClr>
                </a:solidFill>
                <a:prstDash val="sysDash"/>
              </a:ln>
            </c:spPr>
            <c:trendlineType val="poly"/>
            <c:order val="3"/>
          </c:trendline>
          <c:xVal>
            <c:numRef>
              <c:f>ClassExample_2!$C$15:$C$19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8</c:v>
                </c:pt>
              </c:numCache>
            </c:numRef>
          </c:xVal>
          <c:yVal>
            <c:numRef>
              <c:f>ClassExample_2!$D$15:$D$19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40</c:v>
                </c:pt>
                <c:pt idx="3">
                  <c:v>20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Value Function</c:v>
          </c:tx>
          <c:spPr>
            <a:ln w="28575">
              <a:noFill/>
            </a:ln>
          </c:spPr>
          <c:marker>
            <c:symbol val="none"/>
          </c:marker>
          <c:xVal>
            <c:strRef>
              <c:f>ClassExample_2!$R$23:$R$83</c:f>
              <c:strCache>
                <c:ptCount val="15"/>
                <c:pt idx="1">
                  <c:v>Distance to Customers Polynomial Calculation</c:v>
                </c:pt>
                <c:pt idx="3">
                  <c:v>Value</c:v>
                </c:pt>
                <c:pt idx="4">
                  <c:v>100</c:v>
                </c:pt>
                <c:pt idx="5">
                  <c:v>80</c:v>
                </c:pt>
                <c:pt idx="6">
                  <c:v>40</c:v>
                </c:pt>
                <c:pt idx="7">
                  <c:v>20</c:v>
                </c:pt>
                <c:pt idx="8">
                  <c:v>0</c:v>
                </c:pt>
                <c:pt idx="9">
                  <c:v>LINEST</c:v>
                </c:pt>
                <c:pt idx="10">
                  <c:v>-0.191126641</c:v>
                </c:pt>
                <c:pt idx="11">
                  <c:v>0.56330346</c:v>
                </c:pt>
                <c:pt idx="12">
                  <c:v>0.979248545</c:v>
                </c:pt>
                <c:pt idx="13">
                  <c:v>15.72979708</c:v>
                </c:pt>
                <c:pt idx="14">
                  <c:v>6737.229987</c:v>
                </c:pt>
              </c:strCache>
            </c:strRef>
          </c:xVal>
          <c:yVal>
            <c:numRef>
              <c:f>ClassExample_2!$S$23:$S$83</c:f>
              <c:numCache>
                <c:formatCode>General</c:formatCode>
                <c:ptCount val="61"/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10">
                  <c:v>4.378970775095298</c:v>
                </c:pt>
                <c:pt idx="11">
                  <c:v>6.5248252315928621</c:v>
                </c:pt>
                <c:pt idx="12">
                  <c:v>11.948640621697528</c:v>
                </c:pt>
                <c:pt idx="13">
                  <c:v>1</c:v>
                </c:pt>
                <c:pt idx="14">
                  <c:v>142.77001270648029</c:v>
                </c:pt>
              </c:numCache>
            </c:numRef>
          </c:yVal>
        </c:ser>
        <c:axId val="220153728"/>
        <c:axId val="220164096"/>
      </c:scatterChart>
      <c:valAx>
        <c:axId val="220153728"/>
        <c:scaling>
          <c:orientation val="minMax"/>
          <c:max val="8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to Customers</a:t>
                </a:r>
              </a:p>
            </c:rich>
          </c:tx>
        </c:title>
        <c:numFmt formatCode="General" sourceLinked="1"/>
        <c:tickLblPos val="nextTo"/>
        <c:crossAx val="220164096"/>
        <c:crosses val="autoZero"/>
        <c:crossBetween val="midCat"/>
      </c:valAx>
      <c:valAx>
        <c:axId val="220164096"/>
        <c:scaling>
          <c:orientation val="minMax"/>
          <c:max val="100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</c:title>
        <c:numFmt formatCode="General" sourceLinked="1"/>
        <c:tickLblPos val="nextTo"/>
        <c:crossAx val="220153728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ClassExample_2!$D$14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</c:spPr>
          </c:marker>
          <c:trendline>
            <c:spPr>
              <a:ln>
                <a:solidFill>
                  <a:srgbClr val="FF0000"/>
                </a:solidFill>
                <a:prstDash val="dash"/>
              </a:ln>
            </c:spPr>
            <c:trendlineType val="poly"/>
            <c:order val="3"/>
          </c:trendline>
          <c:xVal>
            <c:numRef>
              <c:f>ClassExample_2!$J$15:$J$19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700</c:v>
                </c:pt>
                <c:pt idx="3">
                  <c:v>1000</c:v>
                </c:pt>
                <c:pt idx="4">
                  <c:v>1500</c:v>
                </c:pt>
              </c:numCache>
            </c:numRef>
          </c:xVal>
          <c:yVal>
            <c:numRef>
              <c:f>ClassExample_2!$K$15:$K$19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yVal>
        </c:ser>
        <c:axId val="220069888"/>
        <c:axId val="220071808"/>
      </c:scatterChart>
      <c:valAx>
        <c:axId val="220069888"/>
        <c:scaling>
          <c:orientation val="minMax"/>
          <c:min val="4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Size</a:t>
                </a:r>
              </a:p>
            </c:rich>
          </c:tx>
        </c:title>
        <c:numFmt formatCode="General" sourceLinked="1"/>
        <c:tickLblPos val="nextTo"/>
        <c:crossAx val="220071808"/>
        <c:crosses val="autoZero"/>
        <c:crossBetween val="midCat"/>
      </c:valAx>
      <c:valAx>
        <c:axId val="220071808"/>
        <c:scaling>
          <c:orientation val="minMax"/>
          <c:max val="1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</c:title>
        <c:numFmt formatCode="General" sourceLinked="1"/>
        <c:tickLblPos val="nextTo"/>
        <c:crossAx val="220069888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ClassExample_2!$D$66</c:f>
              <c:strCache>
                <c:ptCount val="1"/>
                <c:pt idx="0">
                  <c:v>Addison Square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ClassExample_2!$E$66</c:f>
              <c:numCache>
                <c:formatCode>0.00</c:formatCode>
                <c:ptCount val="1"/>
                <c:pt idx="0">
                  <c:v>35000</c:v>
                </c:pt>
              </c:numCache>
            </c:numRef>
          </c:xVal>
          <c:yVal>
            <c:numRef>
              <c:f>ClassExample_2!$F$66</c:f>
              <c:numCache>
                <c:formatCode>0.00</c:formatCode>
                <c:ptCount val="1"/>
                <c:pt idx="0">
                  <c:v>80.7419123261473</c:v>
                </c:pt>
              </c:numCache>
            </c:numRef>
          </c:yVal>
        </c:ser>
        <c:ser>
          <c:idx val="1"/>
          <c:order val="1"/>
          <c:tx>
            <c:strRef>
              <c:f>ClassExample_2!$D$67</c:f>
              <c:strCache>
                <c:ptCount val="1"/>
                <c:pt idx="0">
                  <c:v>Bilton Village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ClassExample_2!$E$67</c:f>
              <c:numCache>
                <c:formatCode>0.00</c:formatCode>
                <c:ptCount val="1"/>
                <c:pt idx="0">
                  <c:v>17800</c:v>
                </c:pt>
              </c:numCache>
            </c:numRef>
          </c:xVal>
          <c:yVal>
            <c:numRef>
              <c:f>ClassExample_2!$F$67</c:f>
              <c:numCache>
                <c:formatCode>0.00</c:formatCode>
                <c:ptCount val="1"/>
                <c:pt idx="0">
                  <c:v>38.916941271500463</c:v>
                </c:pt>
              </c:numCache>
            </c:numRef>
          </c:yVal>
        </c:ser>
        <c:ser>
          <c:idx val="2"/>
          <c:order val="2"/>
          <c:tx>
            <c:strRef>
              <c:f>ClassExample_2!$D$68</c:f>
              <c:strCache>
                <c:ptCount val="1"/>
                <c:pt idx="0">
                  <c:v>Corlisle Walk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ClassExample_2!$E$68</c:f>
              <c:numCache>
                <c:formatCode>0.00</c:formatCode>
                <c:ptCount val="1"/>
                <c:pt idx="0">
                  <c:v>6700</c:v>
                </c:pt>
              </c:numCache>
            </c:numRef>
          </c:xVal>
          <c:yVal>
            <c:numRef>
              <c:f>ClassExample_2!$F$68</c:f>
              <c:numCache>
                <c:formatCode>0.00</c:formatCode>
                <c:ptCount val="1"/>
                <c:pt idx="0">
                  <c:v>44.77359304413212</c:v>
                </c:pt>
              </c:numCache>
            </c:numRef>
          </c:yVal>
        </c:ser>
        <c:ser>
          <c:idx val="3"/>
          <c:order val="3"/>
          <c:tx>
            <c:strRef>
              <c:f>ClassExample_2!$D$69</c:f>
              <c:strCache>
                <c:ptCount val="1"/>
                <c:pt idx="0">
                  <c:v>Denver Street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ClassExample_2!$E$69</c:f>
              <c:numCache>
                <c:formatCode>0.00</c:formatCode>
                <c:ptCount val="1"/>
                <c:pt idx="0">
                  <c:v>14100</c:v>
                </c:pt>
              </c:numCache>
            </c:numRef>
          </c:xVal>
          <c:yVal>
            <c:numRef>
              <c:f>ClassExample_2!$F$69</c:f>
              <c:numCache>
                <c:formatCode>0.00</c:formatCode>
                <c:ptCount val="1"/>
                <c:pt idx="0">
                  <c:v>51.686956378740973</c:v>
                </c:pt>
              </c:numCache>
            </c:numRef>
          </c:yVal>
        </c:ser>
        <c:ser>
          <c:idx val="4"/>
          <c:order val="4"/>
          <c:tx>
            <c:strRef>
              <c:f>ClassExample_2!$D$70</c:f>
              <c:strCache>
                <c:ptCount val="1"/>
                <c:pt idx="0">
                  <c:v>Elton Street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ClassExample_2!$E$70</c:f>
              <c:numCache>
                <c:formatCode>0.00</c:formatCode>
                <c:ptCount val="1"/>
                <c:pt idx="0">
                  <c:v>34800</c:v>
                </c:pt>
              </c:numCache>
            </c:numRef>
          </c:xVal>
          <c:yVal>
            <c:numRef>
              <c:f>ClassExample_2!$F$70</c:f>
              <c:numCache>
                <c:formatCode>0.00</c:formatCode>
                <c:ptCount val="1"/>
                <c:pt idx="0">
                  <c:v>67.213621346886896</c:v>
                </c:pt>
              </c:numCache>
            </c:numRef>
          </c:yVal>
        </c:ser>
        <c:ser>
          <c:idx val="5"/>
          <c:order val="5"/>
          <c:tx>
            <c:strRef>
              <c:f>ClassExample_2!$D$71</c:f>
              <c:strCache>
                <c:ptCount val="1"/>
                <c:pt idx="0">
                  <c:v>Filton Village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ClassExample_2!$E$71</c:f>
              <c:numCache>
                <c:formatCode>0.00</c:formatCode>
                <c:ptCount val="1"/>
                <c:pt idx="0">
                  <c:v>18600</c:v>
                </c:pt>
              </c:numCache>
            </c:numRef>
          </c:xVal>
          <c:yVal>
            <c:numRef>
              <c:f>ClassExample_2!$F$71</c:f>
              <c:numCache>
                <c:formatCode>0.00</c:formatCode>
                <c:ptCount val="1"/>
                <c:pt idx="0">
                  <c:v>21.075117821768707</c:v>
                </c:pt>
              </c:numCache>
            </c:numRef>
          </c:yVal>
        </c:ser>
        <c:ser>
          <c:idx val="6"/>
          <c:order val="6"/>
          <c:tx>
            <c:strRef>
              <c:f>ClassExample_2!$D$72</c:f>
              <c:strCache>
                <c:ptCount val="1"/>
                <c:pt idx="0">
                  <c:v>Gorton Square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ClassExample_2!$E$72</c:f>
              <c:numCache>
                <c:formatCode>0.00</c:formatCode>
                <c:ptCount val="1"/>
                <c:pt idx="0">
                  <c:v>12000</c:v>
                </c:pt>
              </c:numCache>
            </c:numRef>
          </c:xVal>
          <c:yVal>
            <c:numRef>
              <c:f>ClassExample_2!$F$72</c:f>
              <c:numCache>
                <c:formatCode>0.00</c:formatCode>
                <c:ptCount val="1"/>
                <c:pt idx="0">
                  <c:v>61.495674425516491</c:v>
                </c:pt>
              </c:numCache>
            </c:numRef>
          </c:yVal>
        </c:ser>
        <c:dLbls>
          <c:showVal val="1"/>
        </c:dLbls>
        <c:axId val="221971200"/>
        <c:axId val="221973120"/>
      </c:scatterChart>
      <c:valAx>
        <c:axId val="221971200"/>
        <c:scaling>
          <c:orientation val="maxMin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Costs</a:t>
                </a:r>
              </a:p>
            </c:rich>
          </c:tx>
        </c:title>
        <c:numFmt formatCode="General" sourceLinked="0"/>
        <c:tickLblPos val="nextTo"/>
        <c:crossAx val="221973120"/>
        <c:crosses val="autoZero"/>
        <c:crossBetween val="midCat"/>
      </c:valAx>
      <c:valAx>
        <c:axId val="221973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Benefits</a:t>
                </a:r>
              </a:p>
            </c:rich>
          </c:tx>
        </c:title>
        <c:numFmt formatCode="0.00" sourceLinked="1"/>
        <c:tickLblPos val="nextTo"/>
        <c:crossAx val="221971200"/>
        <c:crosses val="max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ClassExample_3!$D$14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4">
                  <a:lumMod val="50000"/>
                </a:schemeClr>
              </a:solidFill>
            </c:spPr>
          </c:marker>
          <c:trendline>
            <c:spPr>
              <a:ln>
                <a:solidFill>
                  <a:schemeClr val="accent4">
                    <a:lumMod val="75000"/>
                  </a:schemeClr>
                </a:solidFill>
                <a:prstDash val="sysDash"/>
              </a:ln>
            </c:spPr>
            <c:trendlineType val="poly"/>
            <c:order val="3"/>
          </c:trendline>
          <c:xVal>
            <c:numRef>
              <c:f>ClassExample_3!$C$15:$C$19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8</c:v>
                </c:pt>
              </c:numCache>
            </c:numRef>
          </c:xVal>
          <c:yVal>
            <c:numRef>
              <c:f>ClassExample_3!$D$15:$D$19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40</c:v>
                </c:pt>
                <c:pt idx="3">
                  <c:v>20</c:v>
                </c:pt>
                <c:pt idx="4">
                  <c:v>0</c:v>
                </c:pt>
              </c:numCache>
            </c:numRef>
          </c:yVal>
        </c:ser>
        <c:ser>
          <c:idx val="1"/>
          <c:order val="1"/>
          <c:tx>
            <c:v>Value Function</c:v>
          </c:tx>
          <c:spPr>
            <a:ln w="28575">
              <a:noFill/>
            </a:ln>
          </c:spPr>
          <c:marker>
            <c:symbol val="none"/>
          </c:marker>
          <c:xVal>
            <c:strRef>
              <c:f>ClassExample_2!$R$23:$R$83</c:f>
              <c:strCache>
                <c:ptCount val="15"/>
                <c:pt idx="1">
                  <c:v>Distance to Customers Polynomial Calculation</c:v>
                </c:pt>
                <c:pt idx="3">
                  <c:v>Value</c:v>
                </c:pt>
                <c:pt idx="4">
                  <c:v>100</c:v>
                </c:pt>
                <c:pt idx="5">
                  <c:v>80</c:v>
                </c:pt>
                <c:pt idx="6">
                  <c:v>40</c:v>
                </c:pt>
                <c:pt idx="7">
                  <c:v>20</c:v>
                </c:pt>
                <c:pt idx="8">
                  <c:v>0</c:v>
                </c:pt>
                <c:pt idx="9">
                  <c:v>LINEST</c:v>
                </c:pt>
                <c:pt idx="10">
                  <c:v>-0.191126641</c:v>
                </c:pt>
                <c:pt idx="11">
                  <c:v>0.56330346</c:v>
                </c:pt>
                <c:pt idx="12">
                  <c:v>0.979248545</c:v>
                </c:pt>
                <c:pt idx="13">
                  <c:v>15.72979708</c:v>
                </c:pt>
                <c:pt idx="14">
                  <c:v>6737.229987</c:v>
                </c:pt>
              </c:strCache>
            </c:strRef>
          </c:xVal>
          <c:yVal>
            <c:numRef>
              <c:f>ClassExample_2!$S$23:$S$83</c:f>
              <c:numCache>
                <c:formatCode>General</c:formatCode>
                <c:ptCount val="61"/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8</c:v>
                </c:pt>
                <c:pt idx="10">
                  <c:v>4.378970775095298</c:v>
                </c:pt>
                <c:pt idx="11">
                  <c:v>6.5248252315928621</c:v>
                </c:pt>
                <c:pt idx="12">
                  <c:v>11.948640621697528</c:v>
                </c:pt>
                <c:pt idx="13">
                  <c:v>1</c:v>
                </c:pt>
                <c:pt idx="14">
                  <c:v>142.77001270648029</c:v>
                </c:pt>
              </c:numCache>
            </c:numRef>
          </c:yVal>
        </c:ser>
        <c:axId val="222023680"/>
        <c:axId val="222025600"/>
      </c:scatterChart>
      <c:valAx>
        <c:axId val="222023680"/>
        <c:scaling>
          <c:orientation val="minMax"/>
          <c:max val="8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to Customers</a:t>
                </a:r>
              </a:p>
            </c:rich>
          </c:tx>
          <c:layout/>
        </c:title>
        <c:numFmt formatCode="General" sourceLinked="1"/>
        <c:tickLblPos val="nextTo"/>
        <c:crossAx val="222025600"/>
        <c:crosses val="autoZero"/>
        <c:crossBetween val="midCat"/>
      </c:valAx>
      <c:valAx>
        <c:axId val="2220256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layout/>
        </c:title>
        <c:numFmt formatCode="General" sourceLinked="1"/>
        <c:tickLblPos val="nextTo"/>
        <c:crossAx val="222023680"/>
        <c:crosses val="autoZero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ClassExample_3!$D$14</c:f>
              <c:strCache>
                <c:ptCount val="1"/>
                <c:pt idx="0">
                  <c:v>Value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rgbClr val="FF0000"/>
              </a:solidFill>
            </c:spPr>
          </c:marker>
          <c:trendline>
            <c:spPr>
              <a:ln>
                <a:solidFill>
                  <a:srgbClr val="FF0000"/>
                </a:solidFill>
                <a:prstDash val="dash"/>
              </a:ln>
            </c:spPr>
            <c:trendlineType val="poly"/>
            <c:order val="3"/>
          </c:trendline>
          <c:xVal>
            <c:numRef>
              <c:f>ClassExample_3!$J$15:$J$19</c:f>
              <c:numCache>
                <c:formatCode>General</c:formatCode>
                <c:ptCount val="5"/>
                <c:pt idx="0">
                  <c:v>400</c:v>
                </c:pt>
                <c:pt idx="1">
                  <c:v>500</c:v>
                </c:pt>
                <c:pt idx="2">
                  <c:v>700</c:v>
                </c:pt>
                <c:pt idx="3">
                  <c:v>1000</c:v>
                </c:pt>
                <c:pt idx="4">
                  <c:v>1500</c:v>
                </c:pt>
              </c:numCache>
            </c:numRef>
          </c:xVal>
          <c:yVal>
            <c:numRef>
              <c:f>ClassExample_3!$K$15:$K$19</c:f>
              <c:numCache>
                <c:formatCode>General</c:formatCode>
                <c:ptCount val="5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</c:numCache>
            </c:numRef>
          </c:yVal>
        </c:ser>
        <c:axId val="222058368"/>
        <c:axId val="222072832"/>
      </c:scatterChart>
      <c:valAx>
        <c:axId val="222058368"/>
        <c:scaling>
          <c:orientation val="minMax"/>
          <c:min val="400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Size</a:t>
                </a:r>
              </a:p>
            </c:rich>
          </c:tx>
          <c:layout/>
        </c:title>
        <c:numFmt formatCode="General" sourceLinked="1"/>
        <c:tickLblPos val="nextTo"/>
        <c:crossAx val="222072832"/>
        <c:crosses val="autoZero"/>
        <c:crossBetween val="midCat"/>
      </c:valAx>
      <c:valAx>
        <c:axId val="22207283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Value</a:t>
                </a:r>
              </a:p>
            </c:rich>
          </c:tx>
          <c:layout/>
        </c:title>
        <c:numFmt formatCode="General" sourceLinked="1"/>
        <c:tickLblPos val="nextTo"/>
        <c:crossAx val="222058368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ClassExample_3!$D$66</c:f>
              <c:strCache>
                <c:ptCount val="1"/>
                <c:pt idx="0">
                  <c:v>Addison Square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ClassExample_3!$E$66</c:f>
              <c:numCache>
                <c:formatCode>0.00</c:formatCode>
                <c:ptCount val="1"/>
                <c:pt idx="0">
                  <c:v>35000</c:v>
                </c:pt>
              </c:numCache>
            </c:numRef>
          </c:xVal>
          <c:yVal>
            <c:numRef>
              <c:f>ClassExample_3!$F$66</c:f>
              <c:numCache>
                <c:formatCode>0.00</c:formatCode>
                <c:ptCount val="1"/>
                <c:pt idx="0">
                  <c:v>80.7419123261473</c:v>
                </c:pt>
              </c:numCache>
            </c:numRef>
          </c:yVal>
        </c:ser>
        <c:ser>
          <c:idx val="1"/>
          <c:order val="1"/>
          <c:tx>
            <c:strRef>
              <c:f>ClassExample_3!$D$67</c:f>
              <c:strCache>
                <c:ptCount val="1"/>
                <c:pt idx="0">
                  <c:v>Bilton Village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ClassExample_3!$E$67</c:f>
              <c:numCache>
                <c:formatCode>0.00</c:formatCode>
                <c:ptCount val="1"/>
                <c:pt idx="0">
                  <c:v>17800</c:v>
                </c:pt>
              </c:numCache>
            </c:numRef>
          </c:xVal>
          <c:yVal>
            <c:numRef>
              <c:f>ClassExample_3!$F$67</c:f>
              <c:numCache>
                <c:formatCode>0.00</c:formatCode>
                <c:ptCount val="1"/>
                <c:pt idx="0">
                  <c:v>38.916941271500463</c:v>
                </c:pt>
              </c:numCache>
            </c:numRef>
          </c:yVal>
        </c:ser>
        <c:ser>
          <c:idx val="2"/>
          <c:order val="2"/>
          <c:tx>
            <c:strRef>
              <c:f>ClassExample_3!$D$68</c:f>
              <c:strCache>
                <c:ptCount val="1"/>
                <c:pt idx="0">
                  <c:v>Corlisle Walk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ClassExample_3!$E$68</c:f>
              <c:numCache>
                <c:formatCode>0.00</c:formatCode>
                <c:ptCount val="1"/>
                <c:pt idx="0">
                  <c:v>6700</c:v>
                </c:pt>
              </c:numCache>
            </c:numRef>
          </c:xVal>
          <c:yVal>
            <c:numRef>
              <c:f>ClassExample_3!$F$68</c:f>
              <c:numCache>
                <c:formatCode>0.00</c:formatCode>
                <c:ptCount val="1"/>
                <c:pt idx="0">
                  <c:v>44.77359304413212</c:v>
                </c:pt>
              </c:numCache>
            </c:numRef>
          </c:yVal>
        </c:ser>
        <c:ser>
          <c:idx val="3"/>
          <c:order val="3"/>
          <c:tx>
            <c:strRef>
              <c:f>ClassExample_3!$D$69</c:f>
              <c:strCache>
                <c:ptCount val="1"/>
                <c:pt idx="0">
                  <c:v>Denver Street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ClassExample_3!$E$69</c:f>
              <c:numCache>
                <c:formatCode>0.00</c:formatCode>
                <c:ptCount val="1"/>
                <c:pt idx="0">
                  <c:v>14100</c:v>
                </c:pt>
              </c:numCache>
            </c:numRef>
          </c:xVal>
          <c:yVal>
            <c:numRef>
              <c:f>ClassExample_3!$F$69</c:f>
              <c:numCache>
                <c:formatCode>0.00</c:formatCode>
                <c:ptCount val="1"/>
                <c:pt idx="0">
                  <c:v>51.686956378740973</c:v>
                </c:pt>
              </c:numCache>
            </c:numRef>
          </c:yVal>
        </c:ser>
        <c:ser>
          <c:idx val="4"/>
          <c:order val="4"/>
          <c:tx>
            <c:strRef>
              <c:f>ClassExample_3!$D$70</c:f>
              <c:strCache>
                <c:ptCount val="1"/>
                <c:pt idx="0">
                  <c:v>Elton Street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ClassExample_3!$E$70</c:f>
              <c:numCache>
                <c:formatCode>0.00</c:formatCode>
                <c:ptCount val="1"/>
                <c:pt idx="0">
                  <c:v>34800</c:v>
                </c:pt>
              </c:numCache>
            </c:numRef>
          </c:xVal>
          <c:yVal>
            <c:numRef>
              <c:f>ClassExample_3!$F$70</c:f>
              <c:numCache>
                <c:formatCode>0.00</c:formatCode>
                <c:ptCount val="1"/>
                <c:pt idx="0">
                  <c:v>67.213621346886896</c:v>
                </c:pt>
              </c:numCache>
            </c:numRef>
          </c:yVal>
        </c:ser>
        <c:ser>
          <c:idx val="5"/>
          <c:order val="5"/>
          <c:tx>
            <c:strRef>
              <c:f>ClassExample_3!$D$71</c:f>
              <c:strCache>
                <c:ptCount val="1"/>
                <c:pt idx="0">
                  <c:v>Filton Village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ClassExample_3!$E$71</c:f>
              <c:numCache>
                <c:formatCode>0.00</c:formatCode>
                <c:ptCount val="1"/>
                <c:pt idx="0">
                  <c:v>18600</c:v>
                </c:pt>
              </c:numCache>
            </c:numRef>
          </c:xVal>
          <c:yVal>
            <c:numRef>
              <c:f>ClassExample_3!$F$71</c:f>
              <c:numCache>
                <c:formatCode>0.00</c:formatCode>
                <c:ptCount val="1"/>
                <c:pt idx="0">
                  <c:v>21.075117821768707</c:v>
                </c:pt>
              </c:numCache>
            </c:numRef>
          </c:yVal>
        </c:ser>
        <c:ser>
          <c:idx val="6"/>
          <c:order val="6"/>
          <c:tx>
            <c:strRef>
              <c:f>ClassExample_3!$D$72</c:f>
              <c:strCache>
                <c:ptCount val="1"/>
                <c:pt idx="0">
                  <c:v>Gorton Square</c:v>
                </c:pt>
              </c:strCache>
            </c:strRef>
          </c:tx>
          <c:marker>
            <c:symbol val="diamond"/>
            <c:size val="7"/>
          </c:marker>
          <c:dLbls>
            <c:showSerName val="1"/>
          </c:dLbls>
          <c:xVal>
            <c:numRef>
              <c:f>ClassExample_3!$E$72</c:f>
              <c:numCache>
                <c:formatCode>0.00</c:formatCode>
                <c:ptCount val="1"/>
                <c:pt idx="0">
                  <c:v>12000</c:v>
                </c:pt>
              </c:numCache>
            </c:numRef>
          </c:xVal>
          <c:yVal>
            <c:numRef>
              <c:f>ClassExample_3!$F$72</c:f>
              <c:numCache>
                <c:formatCode>0.00</c:formatCode>
                <c:ptCount val="1"/>
                <c:pt idx="0">
                  <c:v>61.495674425516491</c:v>
                </c:pt>
              </c:numCache>
            </c:numRef>
          </c:yVal>
        </c:ser>
        <c:dLbls>
          <c:showVal val="1"/>
        </c:dLbls>
        <c:axId val="222120576"/>
        <c:axId val="222130944"/>
      </c:scatterChart>
      <c:valAx>
        <c:axId val="222120576"/>
        <c:scaling>
          <c:orientation val="maxMin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Total Costs</a:t>
                </a:r>
              </a:p>
            </c:rich>
          </c:tx>
          <c:layout/>
        </c:title>
        <c:numFmt formatCode="General" sourceLinked="0"/>
        <c:tickLblPos val="nextTo"/>
        <c:crossAx val="222130944"/>
        <c:crosses val="autoZero"/>
        <c:crossBetween val="midCat"/>
      </c:valAx>
      <c:valAx>
        <c:axId val="2221309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Benefits</a:t>
                </a:r>
              </a:p>
            </c:rich>
          </c:tx>
          <c:layout/>
        </c:title>
        <c:numFmt formatCode="0.00" sourceLinked="1"/>
        <c:tickLblPos val="nextTo"/>
        <c:crossAx val="222120576"/>
        <c:crosses val="max"/>
        <c:crossBetween val="midCat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306457</xdr:colOff>
      <xdr:row>15</xdr:row>
      <xdr:rowOff>123826</xdr:rowOff>
    </xdr:from>
    <xdr:to>
      <xdr:col>1</xdr:col>
      <xdr:colOff>2029240</xdr:colOff>
      <xdr:row>32</xdr:row>
      <xdr:rowOff>107673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6457" y="3171826"/>
          <a:ext cx="2335696" cy="2816499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</xdr:pic>
    <xdr:clientData/>
  </xdr:twoCellAnchor>
  <xdr:twoCellAnchor>
    <xdr:from>
      <xdr:col>1</xdr:col>
      <xdr:colOff>1557130</xdr:colOff>
      <xdr:row>14</xdr:row>
      <xdr:rowOff>38103</xdr:rowOff>
    </xdr:from>
    <xdr:to>
      <xdr:col>2</xdr:col>
      <xdr:colOff>752477</xdr:colOff>
      <xdr:row>16</xdr:row>
      <xdr:rowOff>49696</xdr:rowOff>
    </xdr:to>
    <xdr:cxnSp macro="">
      <xdr:nvCxnSpPr>
        <xdr:cNvPr id="5" name="Straight Arrow Connector 4"/>
        <xdr:cNvCxnSpPr/>
      </xdr:nvCxnSpPr>
      <xdr:spPr>
        <a:xfrm flipV="1">
          <a:off x="2170043" y="2920451"/>
          <a:ext cx="1307412" cy="342897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537883</xdr:colOff>
      <xdr:row>18</xdr:row>
      <xdr:rowOff>78442</xdr:rowOff>
    </xdr:from>
    <xdr:to>
      <xdr:col>5</xdr:col>
      <xdr:colOff>1434353</xdr:colOff>
      <xdr:row>20</xdr:row>
      <xdr:rowOff>78441</xdr:rowOff>
    </xdr:to>
    <xdr:cxnSp macro="">
      <xdr:nvCxnSpPr>
        <xdr:cNvPr id="11" name="Elbow Connector 10"/>
        <xdr:cNvCxnSpPr/>
      </xdr:nvCxnSpPr>
      <xdr:spPr>
        <a:xfrm flipV="1">
          <a:off x="7474324" y="3552266"/>
          <a:ext cx="896470" cy="313763"/>
        </a:xfrm>
        <a:prstGeom prst="bentConnector3">
          <a:avLst>
            <a:gd name="adj1" fmla="val 50000"/>
          </a:avLst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544607</xdr:colOff>
      <xdr:row>20</xdr:row>
      <xdr:rowOff>73959</xdr:rowOff>
    </xdr:from>
    <xdr:to>
      <xdr:col>5</xdr:col>
      <xdr:colOff>1467971</xdr:colOff>
      <xdr:row>22</xdr:row>
      <xdr:rowOff>78441</xdr:rowOff>
    </xdr:to>
    <xdr:cxnSp macro="">
      <xdr:nvCxnSpPr>
        <xdr:cNvPr id="13" name="Elbow Connector 12"/>
        <xdr:cNvCxnSpPr/>
      </xdr:nvCxnSpPr>
      <xdr:spPr>
        <a:xfrm>
          <a:off x="7481048" y="3861547"/>
          <a:ext cx="923364" cy="318247"/>
        </a:xfrm>
        <a:prstGeom prst="bentConnector3">
          <a:avLst>
            <a:gd name="adj1" fmla="val 47573"/>
          </a:avLst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609600</xdr:colOff>
      <xdr:row>27</xdr:row>
      <xdr:rowOff>89647</xdr:rowOff>
    </xdr:from>
    <xdr:to>
      <xdr:col>5</xdr:col>
      <xdr:colOff>1506070</xdr:colOff>
      <xdr:row>29</xdr:row>
      <xdr:rowOff>89645</xdr:rowOff>
    </xdr:to>
    <xdr:cxnSp macro="">
      <xdr:nvCxnSpPr>
        <xdr:cNvPr id="16" name="Elbow Connector 15"/>
        <xdr:cNvCxnSpPr/>
      </xdr:nvCxnSpPr>
      <xdr:spPr>
        <a:xfrm flipV="1">
          <a:off x="7546041" y="4661647"/>
          <a:ext cx="896470" cy="313763"/>
        </a:xfrm>
        <a:prstGeom prst="bentConnector3">
          <a:avLst>
            <a:gd name="adj1" fmla="val 50000"/>
          </a:avLst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616324</xdr:colOff>
      <xdr:row>29</xdr:row>
      <xdr:rowOff>85163</xdr:rowOff>
    </xdr:from>
    <xdr:to>
      <xdr:col>5</xdr:col>
      <xdr:colOff>1539688</xdr:colOff>
      <xdr:row>31</xdr:row>
      <xdr:rowOff>89646</xdr:rowOff>
    </xdr:to>
    <xdr:cxnSp macro="">
      <xdr:nvCxnSpPr>
        <xdr:cNvPr id="17" name="Elbow Connector 16"/>
        <xdr:cNvCxnSpPr/>
      </xdr:nvCxnSpPr>
      <xdr:spPr>
        <a:xfrm>
          <a:off x="7552765" y="4970928"/>
          <a:ext cx="923364" cy="318247"/>
        </a:xfrm>
        <a:prstGeom prst="bentConnector3">
          <a:avLst>
            <a:gd name="adj1" fmla="val 47573"/>
          </a:avLst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1219200</xdr:colOff>
      <xdr:row>12</xdr:row>
      <xdr:rowOff>95249</xdr:rowOff>
    </xdr:from>
    <xdr:to>
      <xdr:col>11</xdr:col>
      <xdr:colOff>276225</xdr:colOff>
      <xdr:row>36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33</xdr:row>
      <xdr:rowOff>0</xdr:rowOff>
    </xdr:from>
    <xdr:to>
      <xdr:col>13</xdr:col>
      <xdr:colOff>200026</xdr:colOff>
      <xdr:row>40</xdr:row>
      <xdr:rowOff>152400</xdr:rowOff>
    </xdr:to>
    <xdr:cxnSp macro="">
      <xdr:nvCxnSpPr>
        <xdr:cNvPr id="3" name="Straight Arrow Connector 2"/>
        <xdr:cNvCxnSpPr/>
      </xdr:nvCxnSpPr>
      <xdr:spPr>
        <a:xfrm rot="10800000" flipV="1">
          <a:off x="7200901" y="5619750"/>
          <a:ext cx="4333875" cy="1314450"/>
        </a:xfrm>
        <a:prstGeom prst="straightConnector1">
          <a:avLst/>
        </a:prstGeom>
        <a:ln w="25400">
          <a:solidFill>
            <a:schemeClr val="tx2">
              <a:lumMod val="40000"/>
              <a:lumOff val="6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523877</xdr:colOff>
      <xdr:row>39</xdr:row>
      <xdr:rowOff>47628</xdr:rowOff>
    </xdr:from>
    <xdr:to>
      <xdr:col>11</xdr:col>
      <xdr:colOff>600075</xdr:colOff>
      <xdr:row>39</xdr:row>
      <xdr:rowOff>133348</xdr:rowOff>
    </xdr:to>
    <xdr:cxnSp macro="">
      <xdr:nvCxnSpPr>
        <xdr:cNvPr id="6" name="Straight Arrow Connector 5"/>
        <xdr:cNvCxnSpPr/>
      </xdr:nvCxnSpPr>
      <xdr:spPr>
        <a:xfrm rot="10800000" flipV="1">
          <a:off x="8543927" y="6619878"/>
          <a:ext cx="1828798" cy="85720"/>
        </a:xfrm>
        <a:prstGeom prst="straightConnector1">
          <a:avLst/>
        </a:prstGeom>
        <a:ln w="25400">
          <a:solidFill>
            <a:schemeClr val="accent6">
              <a:lumMod val="60000"/>
              <a:lumOff val="4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685800</xdr:colOff>
      <xdr:row>21</xdr:row>
      <xdr:rowOff>28575</xdr:rowOff>
    </xdr:from>
    <xdr:to>
      <xdr:col>5</xdr:col>
      <xdr:colOff>1209675</xdr:colOff>
      <xdr:row>34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495301</xdr:colOff>
      <xdr:row>11</xdr:row>
      <xdr:rowOff>19049</xdr:rowOff>
    </xdr:from>
    <xdr:to>
      <xdr:col>5</xdr:col>
      <xdr:colOff>1162051</xdr:colOff>
      <xdr:row>21</xdr:row>
      <xdr:rowOff>28574</xdr:rowOff>
    </xdr:to>
    <xdr:cxnSp macro="">
      <xdr:nvCxnSpPr>
        <xdr:cNvPr id="9" name="Straight Arrow Connector 8"/>
        <xdr:cNvCxnSpPr/>
      </xdr:nvCxnSpPr>
      <xdr:spPr>
        <a:xfrm rot="5400000">
          <a:off x="4262438" y="2185987"/>
          <a:ext cx="1666875" cy="1276350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219075</xdr:colOff>
      <xdr:row>19</xdr:row>
      <xdr:rowOff>28577</xdr:rowOff>
    </xdr:from>
    <xdr:to>
      <xdr:col>3</xdr:col>
      <xdr:colOff>390525</xdr:colOff>
      <xdr:row>21</xdr:row>
      <xdr:rowOff>0</xdr:rowOff>
    </xdr:to>
    <xdr:cxnSp macro="">
      <xdr:nvCxnSpPr>
        <xdr:cNvPr id="12" name="Straight Arrow Connector 11"/>
        <xdr:cNvCxnSpPr/>
      </xdr:nvCxnSpPr>
      <xdr:spPr>
        <a:xfrm rot="16200000" flipH="1">
          <a:off x="3257551" y="3390901"/>
          <a:ext cx="304798" cy="171450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400052</xdr:colOff>
      <xdr:row>34</xdr:row>
      <xdr:rowOff>28578</xdr:rowOff>
    </xdr:from>
    <xdr:to>
      <xdr:col>5</xdr:col>
      <xdr:colOff>809627</xdr:colOff>
      <xdr:row>40</xdr:row>
      <xdr:rowOff>152402</xdr:rowOff>
    </xdr:to>
    <xdr:cxnSp macro="">
      <xdr:nvCxnSpPr>
        <xdr:cNvPr id="15" name="Straight Arrow Connector 14"/>
        <xdr:cNvCxnSpPr/>
      </xdr:nvCxnSpPr>
      <xdr:spPr>
        <a:xfrm rot="16200000" flipH="1">
          <a:off x="4314828" y="5829302"/>
          <a:ext cx="1114424" cy="1019175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21</xdr:row>
      <xdr:rowOff>9526</xdr:rowOff>
    </xdr:from>
    <xdr:to>
      <xdr:col>11</xdr:col>
      <xdr:colOff>161925</xdr:colOff>
      <xdr:row>34</xdr:row>
      <xdr:rowOff>47626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523876</xdr:colOff>
      <xdr:row>18</xdr:row>
      <xdr:rowOff>171449</xdr:rowOff>
    </xdr:from>
    <xdr:to>
      <xdr:col>9</xdr:col>
      <xdr:colOff>838202</xdr:colOff>
      <xdr:row>21</xdr:row>
      <xdr:rowOff>2</xdr:rowOff>
    </xdr:to>
    <xdr:cxnSp macro="">
      <xdr:nvCxnSpPr>
        <xdr:cNvPr id="28" name="Straight Arrow Connector 27"/>
        <xdr:cNvCxnSpPr/>
      </xdr:nvCxnSpPr>
      <xdr:spPr>
        <a:xfrm rot="5400000">
          <a:off x="8529637" y="3309938"/>
          <a:ext cx="342903" cy="314326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34</xdr:row>
      <xdr:rowOff>47625</xdr:rowOff>
    </xdr:from>
    <xdr:to>
      <xdr:col>9</xdr:col>
      <xdr:colOff>57150</xdr:colOff>
      <xdr:row>40</xdr:row>
      <xdr:rowOff>28575</xdr:rowOff>
    </xdr:to>
    <xdr:cxnSp macro="">
      <xdr:nvCxnSpPr>
        <xdr:cNvPr id="30" name="Straight Arrow Connector 29"/>
        <xdr:cNvCxnSpPr/>
      </xdr:nvCxnSpPr>
      <xdr:spPr>
        <a:xfrm rot="5400000">
          <a:off x="7429500" y="6124575"/>
          <a:ext cx="971550" cy="323850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51</xdr:row>
      <xdr:rowOff>9526</xdr:rowOff>
    </xdr:from>
    <xdr:to>
      <xdr:col>5</xdr:col>
      <xdr:colOff>1162050</xdr:colOff>
      <xdr:row>51</xdr:row>
      <xdr:rowOff>161928</xdr:rowOff>
    </xdr:to>
    <xdr:cxnSp macro="">
      <xdr:nvCxnSpPr>
        <xdr:cNvPr id="33" name="Straight Arrow Connector 32"/>
        <xdr:cNvCxnSpPr/>
      </xdr:nvCxnSpPr>
      <xdr:spPr>
        <a:xfrm>
          <a:off x="4371975" y="8582026"/>
          <a:ext cx="1362075" cy="152402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65</xdr:row>
      <xdr:rowOff>85725</xdr:rowOff>
    </xdr:from>
    <xdr:to>
      <xdr:col>14</xdr:col>
      <xdr:colOff>123825</xdr:colOff>
      <xdr:row>82</xdr:row>
      <xdr:rowOff>76200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33</xdr:row>
      <xdr:rowOff>0</xdr:rowOff>
    </xdr:from>
    <xdr:to>
      <xdr:col>13</xdr:col>
      <xdr:colOff>200026</xdr:colOff>
      <xdr:row>40</xdr:row>
      <xdr:rowOff>152400</xdr:rowOff>
    </xdr:to>
    <xdr:cxnSp macro="">
      <xdr:nvCxnSpPr>
        <xdr:cNvPr id="2" name="Straight Arrow Connector 1"/>
        <xdr:cNvCxnSpPr/>
      </xdr:nvCxnSpPr>
      <xdr:spPr>
        <a:xfrm rot="10800000" flipV="1">
          <a:off x="7677151" y="5619750"/>
          <a:ext cx="4333875" cy="1314450"/>
        </a:xfrm>
        <a:prstGeom prst="straightConnector1">
          <a:avLst/>
        </a:prstGeom>
        <a:ln w="25400">
          <a:solidFill>
            <a:schemeClr val="tx2">
              <a:lumMod val="40000"/>
              <a:lumOff val="6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523877</xdr:colOff>
      <xdr:row>39</xdr:row>
      <xdr:rowOff>47628</xdr:rowOff>
    </xdr:from>
    <xdr:to>
      <xdr:col>11</xdr:col>
      <xdr:colOff>600075</xdr:colOff>
      <xdr:row>39</xdr:row>
      <xdr:rowOff>133348</xdr:rowOff>
    </xdr:to>
    <xdr:cxnSp macro="">
      <xdr:nvCxnSpPr>
        <xdr:cNvPr id="3" name="Straight Arrow Connector 2"/>
        <xdr:cNvCxnSpPr/>
      </xdr:nvCxnSpPr>
      <xdr:spPr>
        <a:xfrm rot="10800000" flipV="1">
          <a:off x="9020177" y="6657978"/>
          <a:ext cx="1828798" cy="85720"/>
        </a:xfrm>
        <a:prstGeom prst="straightConnector1">
          <a:avLst/>
        </a:prstGeom>
        <a:ln w="25400">
          <a:solidFill>
            <a:schemeClr val="accent6">
              <a:lumMod val="60000"/>
              <a:lumOff val="40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685800</xdr:colOff>
      <xdr:row>21</xdr:row>
      <xdr:rowOff>28575</xdr:rowOff>
    </xdr:from>
    <xdr:to>
      <xdr:col>5</xdr:col>
      <xdr:colOff>1209675</xdr:colOff>
      <xdr:row>34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495301</xdr:colOff>
      <xdr:row>11</xdr:row>
      <xdr:rowOff>19049</xdr:rowOff>
    </xdr:from>
    <xdr:to>
      <xdr:col>5</xdr:col>
      <xdr:colOff>1162051</xdr:colOff>
      <xdr:row>21</xdr:row>
      <xdr:rowOff>28574</xdr:rowOff>
    </xdr:to>
    <xdr:cxnSp macro="">
      <xdr:nvCxnSpPr>
        <xdr:cNvPr id="5" name="Straight Arrow Connector 4"/>
        <xdr:cNvCxnSpPr/>
      </xdr:nvCxnSpPr>
      <xdr:spPr>
        <a:xfrm rot="5400000">
          <a:off x="4543426" y="2009774"/>
          <a:ext cx="1676400" cy="1657350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219075</xdr:colOff>
      <xdr:row>19</xdr:row>
      <xdr:rowOff>28577</xdr:rowOff>
    </xdr:from>
    <xdr:to>
      <xdr:col>3</xdr:col>
      <xdr:colOff>390525</xdr:colOff>
      <xdr:row>21</xdr:row>
      <xdr:rowOff>0</xdr:rowOff>
    </xdr:to>
    <xdr:cxnSp macro="">
      <xdr:nvCxnSpPr>
        <xdr:cNvPr id="6" name="Straight Arrow Connector 5"/>
        <xdr:cNvCxnSpPr/>
      </xdr:nvCxnSpPr>
      <xdr:spPr>
        <a:xfrm rot="16200000" flipH="1">
          <a:off x="3252788" y="3405189"/>
          <a:ext cx="314323" cy="171450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400052</xdr:colOff>
      <xdr:row>34</xdr:row>
      <xdr:rowOff>28578</xdr:rowOff>
    </xdr:from>
    <xdr:to>
      <xdr:col>5</xdr:col>
      <xdr:colOff>809627</xdr:colOff>
      <xdr:row>40</xdr:row>
      <xdr:rowOff>152402</xdr:rowOff>
    </xdr:to>
    <xdr:cxnSp macro="">
      <xdr:nvCxnSpPr>
        <xdr:cNvPr id="7" name="Straight Arrow Connector 6"/>
        <xdr:cNvCxnSpPr/>
      </xdr:nvCxnSpPr>
      <xdr:spPr>
        <a:xfrm rot="16200000" flipH="1">
          <a:off x="4595815" y="5672140"/>
          <a:ext cx="1123949" cy="1400175"/>
        </a:xfrm>
        <a:prstGeom prst="straightConnector1">
          <a:avLst/>
        </a:prstGeom>
        <a:ln w="25400">
          <a:solidFill>
            <a:schemeClr val="accent4">
              <a:lumMod val="7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21</xdr:row>
      <xdr:rowOff>9526</xdr:rowOff>
    </xdr:from>
    <xdr:to>
      <xdr:col>11</xdr:col>
      <xdr:colOff>161925</xdr:colOff>
      <xdr:row>34</xdr:row>
      <xdr:rowOff>47626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523876</xdr:colOff>
      <xdr:row>18</xdr:row>
      <xdr:rowOff>171449</xdr:rowOff>
    </xdr:from>
    <xdr:to>
      <xdr:col>9</xdr:col>
      <xdr:colOff>838202</xdr:colOff>
      <xdr:row>21</xdr:row>
      <xdr:rowOff>2</xdr:rowOff>
    </xdr:to>
    <xdr:cxnSp macro="">
      <xdr:nvCxnSpPr>
        <xdr:cNvPr id="9" name="Straight Arrow Connector 8"/>
        <xdr:cNvCxnSpPr/>
      </xdr:nvCxnSpPr>
      <xdr:spPr>
        <a:xfrm rot="5400000">
          <a:off x="9005887" y="3319463"/>
          <a:ext cx="342903" cy="314326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34</xdr:row>
      <xdr:rowOff>47625</xdr:rowOff>
    </xdr:from>
    <xdr:to>
      <xdr:col>9</xdr:col>
      <xdr:colOff>57150</xdr:colOff>
      <xdr:row>40</xdr:row>
      <xdr:rowOff>28575</xdr:rowOff>
    </xdr:to>
    <xdr:cxnSp macro="">
      <xdr:nvCxnSpPr>
        <xdr:cNvPr id="10" name="Straight Arrow Connector 9"/>
        <xdr:cNvCxnSpPr/>
      </xdr:nvCxnSpPr>
      <xdr:spPr>
        <a:xfrm rot="5400000">
          <a:off x="7900987" y="6157913"/>
          <a:ext cx="981075" cy="323850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51</xdr:row>
      <xdr:rowOff>9526</xdr:rowOff>
    </xdr:from>
    <xdr:to>
      <xdr:col>5</xdr:col>
      <xdr:colOff>1162050</xdr:colOff>
      <xdr:row>51</xdr:row>
      <xdr:rowOff>161928</xdr:rowOff>
    </xdr:to>
    <xdr:cxnSp macro="">
      <xdr:nvCxnSpPr>
        <xdr:cNvPr id="11" name="Straight Arrow Connector 10"/>
        <xdr:cNvCxnSpPr/>
      </xdr:nvCxnSpPr>
      <xdr:spPr>
        <a:xfrm>
          <a:off x="4467225" y="8582026"/>
          <a:ext cx="1743075" cy="152402"/>
        </a:xfrm>
        <a:prstGeom prst="straightConnector1">
          <a:avLst/>
        </a:prstGeom>
        <a:ln w="25400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65</xdr:row>
      <xdr:rowOff>85725</xdr:rowOff>
    </xdr:from>
    <xdr:to>
      <xdr:col>14</xdr:col>
      <xdr:colOff>123825</xdr:colOff>
      <xdr:row>82</xdr:row>
      <xdr:rowOff>76200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montecarlito.com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54"/>
  <sheetViews>
    <sheetView topLeftCell="A25" workbookViewId="0">
      <selection activeCell="F50" sqref="F50"/>
    </sheetView>
  </sheetViews>
  <sheetFormatPr defaultColWidth="11.42578125" defaultRowHeight="12.75"/>
  <sheetData>
    <row r="1" spans="1:2">
      <c r="A1" s="15" t="s">
        <v>20</v>
      </c>
    </row>
    <row r="2" spans="1:2">
      <c r="A2" t="s">
        <v>21</v>
      </c>
    </row>
    <row r="3" spans="1:2">
      <c r="A3" t="s">
        <v>11</v>
      </c>
    </row>
    <row r="4" spans="1:2">
      <c r="A4" s="28" t="s">
        <v>19</v>
      </c>
    </row>
    <row r="6" spans="1:2">
      <c r="B6" t="s">
        <v>24</v>
      </c>
    </row>
    <row r="7" spans="1:2">
      <c r="B7" t="s">
        <v>25</v>
      </c>
    </row>
    <row r="9" spans="1:2">
      <c r="B9" t="s">
        <v>26</v>
      </c>
    </row>
    <row r="10" spans="1:2">
      <c r="B10" t="s">
        <v>27</v>
      </c>
    </row>
    <row r="11" spans="1:2">
      <c r="B11" t="s">
        <v>28</v>
      </c>
    </row>
    <row r="15" spans="1:2">
      <c r="B15" s="15" t="s">
        <v>23</v>
      </c>
    </row>
    <row r="17" spans="2:6">
      <c r="B17" t="s">
        <v>29</v>
      </c>
    </row>
    <row r="18" spans="2:6">
      <c r="B18" t="s">
        <v>30</v>
      </c>
    </row>
    <row r="19" spans="2:6">
      <c r="B19" t="s">
        <v>31</v>
      </c>
    </row>
    <row r="20" spans="2:6">
      <c r="B20" t="s">
        <v>32</v>
      </c>
    </row>
    <row r="21" spans="2:6">
      <c r="B21" t="s">
        <v>49</v>
      </c>
    </row>
    <row r="23" spans="2:6">
      <c r="B23" t="s">
        <v>33</v>
      </c>
    </row>
    <row r="24" spans="2:6">
      <c r="B24" t="s">
        <v>34</v>
      </c>
    </row>
    <row r="26" spans="2:6">
      <c r="B26" t="s">
        <v>35</v>
      </c>
    </row>
    <row r="27" spans="2:6" ht="13.5" thickBot="1"/>
    <row r="28" spans="2:6" ht="13.5" thickBot="1">
      <c r="B28" t="s">
        <v>40</v>
      </c>
      <c r="D28" s="29">
        <f ca="1">RAND()</f>
        <v>0.70770120303436723</v>
      </c>
      <c r="F28" t="s">
        <v>36</v>
      </c>
    </row>
    <row r="30" spans="2:6">
      <c r="B30" t="s">
        <v>37</v>
      </c>
    </row>
    <row r="31" spans="2:6" ht="13.5" thickBot="1"/>
    <row r="32" spans="2:6" ht="13.5" thickBot="1">
      <c r="B32" t="s">
        <v>41</v>
      </c>
      <c r="D32" s="29">
        <f ca="1">ROUNDDOWN(D28*6,0)+1</f>
        <v>5</v>
      </c>
      <c r="F32" t="s">
        <v>38</v>
      </c>
    </row>
    <row r="34" spans="2:6">
      <c r="B34" t="s">
        <v>39</v>
      </c>
    </row>
    <row r="35" spans="2:6" ht="13.5" thickBot="1"/>
    <row r="36" spans="2:6">
      <c r="B36" t="s">
        <v>42</v>
      </c>
      <c r="D36" s="30">
        <f ca="1">D32^2</f>
        <v>25</v>
      </c>
    </row>
    <row r="37" spans="2:6" ht="13.5" thickBot="1">
      <c r="B37" t="s">
        <v>43</v>
      </c>
      <c r="D37" s="31">
        <v>14</v>
      </c>
    </row>
    <row r="38" spans="2:6" ht="13.5" thickBot="1"/>
    <row r="39" spans="2:6" ht="13.5" thickBot="1">
      <c r="B39" t="s">
        <v>47</v>
      </c>
      <c r="D39" s="29">
        <f ca="1">D36-D37</f>
        <v>11</v>
      </c>
    </row>
    <row r="41" spans="2:6">
      <c r="B41" t="s">
        <v>44</v>
      </c>
    </row>
    <row r="42" spans="2:6">
      <c r="B42" t="s">
        <v>46</v>
      </c>
    </row>
    <row r="44" spans="2:6">
      <c r="B44" t="s">
        <v>45</v>
      </c>
    </row>
    <row r="45" spans="2:6">
      <c r="B45" t="s">
        <v>48</v>
      </c>
    </row>
    <row r="47" spans="2:6" ht="13.5" thickBot="1"/>
    <row r="48" spans="2:6">
      <c r="C48" s="36">
        <v>1000</v>
      </c>
      <c r="D48" s="37">
        <f ca="1">D39</f>
        <v>11</v>
      </c>
      <c r="F48" t="s">
        <v>50</v>
      </c>
    </row>
    <row r="49" spans="2:4" ht="13.5" thickBot="1">
      <c r="C49" s="13" t="s">
        <v>0</v>
      </c>
      <c r="D49" s="35">
        <v>1.254</v>
      </c>
    </row>
    <row r="53" spans="2:4">
      <c r="B53" t="s">
        <v>51</v>
      </c>
    </row>
    <row r="54" spans="2:4">
      <c r="B54" t="s">
        <v>93</v>
      </c>
    </row>
  </sheetData>
  <phoneticPr fontId="1" type="noConversion"/>
  <hyperlinks>
    <hyperlink ref="A4" r:id="rId1"/>
  </hyperlinks>
  <pageMargins left="0.75" right="0.75" top="1" bottom="1" header="0.4921259845" footer="0.4921259845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B2:G38"/>
  <sheetViews>
    <sheetView topLeftCell="A19" workbookViewId="0">
      <selection activeCell="D43" sqref="D43"/>
    </sheetView>
  </sheetViews>
  <sheetFormatPr defaultColWidth="11.42578125" defaultRowHeight="12.75"/>
  <cols>
    <col min="2" max="2" width="12.42578125" customWidth="1"/>
  </cols>
  <sheetData>
    <row r="2" spans="2:2">
      <c r="B2" s="15" t="s">
        <v>73</v>
      </c>
    </row>
    <row r="4" spans="2:2">
      <c r="B4" t="s">
        <v>54</v>
      </c>
    </row>
    <row r="5" spans="2:2">
      <c r="B5" t="s">
        <v>55</v>
      </c>
    </row>
    <row r="7" spans="2:2">
      <c r="B7" t="s">
        <v>56</v>
      </c>
    </row>
    <row r="8" spans="2:2">
      <c r="B8" t="s">
        <v>52</v>
      </c>
    </row>
    <row r="9" spans="2:2">
      <c r="B9" t="s">
        <v>53</v>
      </c>
    </row>
    <row r="11" spans="2:2">
      <c r="B11" t="s">
        <v>74</v>
      </c>
    </row>
    <row r="13" spans="2:2">
      <c r="B13" t="s">
        <v>58</v>
      </c>
    </row>
    <row r="15" spans="2:2">
      <c r="B15" t="s">
        <v>57</v>
      </c>
    </row>
    <row r="16" spans="2:2">
      <c r="B16" t="s">
        <v>59</v>
      </c>
    </row>
    <row r="18" spans="2:7">
      <c r="B18" t="s">
        <v>60</v>
      </c>
    </row>
    <row r="21" spans="2:7">
      <c r="B21" t="s">
        <v>61</v>
      </c>
    </row>
    <row r="23" spans="2:7" ht="13.5" thickBot="1">
      <c r="D23" t="s">
        <v>63</v>
      </c>
      <c r="E23" t="s">
        <v>64</v>
      </c>
    </row>
    <row r="24" spans="2:7" ht="13.5" thickBot="1">
      <c r="B24" t="s">
        <v>62</v>
      </c>
      <c r="D24" s="32">
        <f ca="1">RAND()*4-2</f>
        <v>-1.9524699375093491</v>
      </c>
      <c r="E24" s="33">
        <f ca="1">RAND()*4-2</f>
        <v>0.51729501914864073</v>
      </c>
      <c r="G24" t="s">
        <v>65</v>
      </c>
    </row>
    <row r="25" spans="2:7" ht="13.5" thickBot="1"/>
    <row r="26" spans="2:7" ht="13.5" thickBot="1">
      <c r="B26" t="s">
        <v>66</v>
      </c>
      <c r="E26" s="29">
        <f ca="1">IF(SQRT(D24^2+E24^2)&lt;2,1,0)</f>
        <v>0</v>
      </c>
      <c r="G26" t="s">
        <v>67</v>
      </c>
    </row>
    <row r="30" spans="2:7">
      <c r="B30" t="s">
        <v>68</v>
      </c>
    </row>
    <row r="31" spans="2:7" ht="13.5" thickBot="1"/>
    <row r="32" spans="2:7">
      <c r="D32" s="36">
        <v>1000</v>
      </c>
      <c r="E32" s="37">
        <f ca="1">E26</f>
        <v>0</v>
      </c>
      <c r="G32" t="s">
        <v>69</v>
      </c>
    </row>
    <row r="33" spans="2:5" ht="13.5" thickBot="1">
      <c r="D33" s="13" t="s">
        <v>0</v>
      </c>
      <c r="E33" s="38">
        <v>0.80500000000000005</v>
      </c>
    </row>
    <row r="35" spans="2:5">
      <c r="B35">
        <f>E33*D32</f>
        <v>805</v>
      </c>
      <c r="C35" t="s">
        <v>70</v>
      </c>
    </row>
    <row r="36" spans="2:5">
      <c r="B36">
        <v>1000</v>
      </c>
      <c r="C36" t="s">
        <v>71</v>
      </c>
    </row>
    <row r="37" spans="2:5" ht="13.5" thickBot="1"/>
    <row r="38" spans="2:5" ht="13.5" thickBot="1">
      <c r="B38" t="s">
        <v>72</v>
      </c>
      <c r="E38" s="39">
        <f>4*B35/B36</f>
        <v>3.22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B2:I35"/>
  <sheetViews>
    <sheetView workbookViewId="0">
      <selection activeCell="G21" sqref="G21"/>
    </sheetView>
  </sheetViews>
  <sheetFormatPr defaultColWidth="11.42578125" defaultRowHeight="12.75"/>
  <cols>
    <col min="6" max="6" width="17.28515625" customWidth="1"/>
  </cols>
  <sheetData>
    <row r="2" spans="2:2">
      <c r="B2" s="15" t="s">
        <v>75</v>
      </c>
    </row>
    <row r="4" spans="2:2">
      <c r="B4" t="s">
        <v>76</v>
      </c>
    </row>
    <row r="5" spans="2:2">
      <c r="B5" t="s">
        <v>77</v>
      </c>
    </row>
    <row r="7" spans="2:2">
      <c r="B7" t="s">
        <v>78</v>
      </c>
    </row>
    <row r="8" spans="2:2">
      <c r="B8" t="s">
        <v>80</v>
      </c>
    </row>
    <row r="10" spans="2:2">
      <c r="B10" t="s">
        <v>81</v>
      </c>
    </row>
    <row r="11" spans="2:2">
      <c r="B11" t="s">
        <v>82</v>
      </c>
    </row>
    <row r="13" spans="2:2">
      <c r="B13" t="s">
        <v>79</v>
      </c>
    </row>
    <row r="16" spans="2:2" ht="13.5" thickBot="1"/>
    <row r="17" spans="2:7" ht="13.5" thickBot="1">
      <c r="B17" t="s">
        <v>83</v>
      </c>
      <c r="G17" s="29">
        <f ca="1">20+RAND()*10</f>
        <v>29.90769636090365</v>
      </c>
    </row>
    <row r="18" spans="2:7" ht="13.5" thickBot="1">
      <c r="B18" t="s">
        <v>84</v>
      </c>
      <c r="G18" s="31">
        <f ca="1">15+5*EXP(NORMINV(RAND(),0,1))</f>
        <v>37.145082314493365</v>
      </c>
    </row>
    <row r="20" spans="2:7" ht="13.5" thickBot="1"/>
    <row r="21" spans="2:7">
      <c r="B21" t="s">
        <v>85</v>
      </c>
      <c r="F21" s="36">
        <v>1000</v>
      </c>
      <c r="G21" s="37">
        <f ca="1">G17+G18</f>
        <v>67.052778675397008</v>
      </c>
    </row>
    <row r="22" spans="2:7">
      <c r="F22" s="12" t="s">
        <v>0</v>
      </c>
      <c r="G22" s="34">
        <v>47.958666476481241</v>
      </c>
    </row>
    <row r="23" spans="2:7">
      <c r="F23" s="12" t="s">
        <v>1</v>
      </c>
      <c r="G23" s="34">
        <v>0.32193268133831504</v>
      </c>
    </row>
    <row r="24" spans="2:7">
      <c r="F24" s="12" t="s">
        <v>3</v>
      </c>
      <c r="G24" s="34">
        <v>45.585700002164003</v>
      </c>
    </row>
    <row r="25" spans="2:7">
      <c r="F25" s="12" t="s">
        <v>2</v>
      </c>
      <c r="G25" s="34">
        <v>10.180405262742594</v>
      </c>
    </row>
    <row r="26" spans="2:7" ht="13.5" thickBot="1">
      <c r="F26" s="13" t="s">
        <v>4</v>
      </c>
      <c r="G26" s="35">
        <v>103.64065131367711</v>
      </c>
    </row>
    <row r="28" spans="2:7">
      <c r="B28" t="s">
        <v>86</v>
      </c>
    </row>
    <row r="30" spans="2:7">
      <c r="B30" t="s">
        <v>87</v>
      </c>
      <c r="G30">
        <f>G22</f>
        <v>47.958666476481241</v>
      </c>
    </row>
    <row r="32" spans="2:7">
      <c r="B32" t="s">
        <v>88</v>
      </c>
      <c r="G32">
        <f>1.96*G25</f>
        <v>19.953594314975483</v>
      </c>
    </row>
    <row r="34" spans="2:9">
      <c r="B34" t="s">
        <v>89</v>
      </c>
      <c r="G34">
        <f>G30</f>
        <v>47.958666476481241</v>
      </c>
      <c r="H34" t="s">
        <v>90</v>
      </c>
      <c r="I34">
        <f>G32</f>
        <v>19.953594314975483</v>
      </c>
    </row>
    <row r="35" spans="2:9">
      <c r="F35" t="s">
        <v>91</v>
      </c>
      <c r="G35">
        <f>G34</f>
        <v>47.958666476481241</v>
      </c>
      <c r="H35" t="s">
        <v>92</v>
      </c>
      <c r="I35">
        <f>I34</f>
        <v>19.953594314975483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"/>
  <dimension ref="A1:K28"/>
  <sheetViews>
    <sheetView workbookViewId="0">
      <selection activeCell="I11" sqref="I11:K13"/>
    </sheetView>
  </sheetViews>
  <sheetFormatPr defaultColWidth="14" defaultRowHeight="12.75"/>
  <cols>
    <col min="1" max="5" width="14" customWidth="1"/>
    <col min="6" max="6" width="14" style="16" customWidth="1"/>
  </cols>
  <sheetData>
    <row r="1" spans="1:11">
      <c r="A1" s="15" t="s">
        <v>22</v>
      </c>
    </row>
    <row r="4" spans="1:11">
      <c r="A4" s="28"/>
    </row>
    <row r="7" spans="1:11">
      <c r="A7" s="2" t="s">
        <v>14</v>
      </c>
      <c r="H7" s="15" t="s">
        <v>16</v>
      </c>
    </row>
    <row r="9" spans="1:11">
      <c r="A9" s="1" t="s">
        <v>7</v>
      </c>
      <c r="H9" t="s">
        <v>15</v>
      </c>
    </row>
    <row r="10" spans="1:11" ht="13.5" thickBot="1"/>
    <row r="11" spans="1:11">
      <c r="A11" t="s">
        <v>18</v>
      </c>
      <c r="I11" s="21">
        <v>100</v>
      </c>
      <c r="J11" s="3">
        <f ca="1">RAND()</f>
        <v>0.50589549289486602</v>
      </c>
      <c r="K11" s="4">
        <f ca="1">NORMSINV(RAND())</f>
        <v>1.1508998214786494</v>
      </c>
    </row>
    <row r="12" spans="1:11">
      <c r="I12" s="5" t="s">
        <v>0</v>
      </c>
      <c r="J12" s="22">
        <v>0.46543519614427598</v>
      </c>
      <c r="K12" s="23">
        <v>-9.2331958387740456E-2</v>
      </c>
    </row>
    <row r="13" spans="1:11" ht="13.5" thickBot="1">
      <c r="A13" t="s">
        <v>13</v>
      </c>
      <c r="I13" s="7" t="s">
        <v>1</v>
      </c>
      <c r="J13" s="24">
        <v>2.7563011461217569E-2</v>
      </c>
      <c r="K13" s="25">
        <v>9.0399880070736308E-2</v>
      </c>
    </row>
    <row r="14" spans="1:11" ht="13.5" thickBot="1"/>
    <row r="15" spans="1:11">
      <c r="B15" s="9">
        <v>1000</v>
      </c>
      <c r="C15" s="10">
        <f ca="1">RAND()</f>
        <v>0.26515521653795115</v>
      </c>
      <c r="D15" s="10">
        <f ca="1">EXP(10*RAND())</f>
        <v>7.9231432070023464</v>
      </c>
      <c r="E15" s="11">
        <f ca="1">NORMSINV(RAND())</f>
        <v>-0.25454184312696693</v>
      </c>
    </row>
    <row r="16" spans="1:11">
      <c r="B16" s="12" t="s">
        <v>0</v>
      </c>
      <c r="C16" s="17">
        <v>0.48827972658543012</v>
      </c>
      <c r="D16" s="17">
        <v>2054.7031902596059</v>
      </c>
      <c r="E16" s="18">
        <v>-3.8030564799357265E-3</v>
      </c>
      <c r="H16" t="s">
        <v>17</v>
      </c>
    </row>
    <row r="17" spans="1:10" ht="13.5" thickBot="1">
      <c r="B17" s="12" t="s">
        <v>1</v>
      </c>
      <c r="C17" s="17">
        <v>9.1022381660976828E-3</v>
      </c>
      <c r="D17" s="17">
        <v>134.09207128655848</v>
      </c>
      <c r="E17" s="18">
        <v>3.1825298187514901E-2</v>
      </c>
    </row>
    <row r="18" spans="1:10">
      <c r="B18" s="12" t="s">
        <v>3</v>
      </c>
      <c r="C18" s="17">
        <v>0.48801832532640699</v>
      </c>
      <c r="D18" s="17">
        <v>134.77505128979266</v>
      </c>
      <c r="E18" s="18">
        <v>-5.955486686542914E-3</v>
      </c>
      <c r="I18" s="27">
        <v>1000</v>
      </c>
      <c r="J18" s="26">
        <f ca="1">NORMSINV(RAND())</f>
        <v>1.7082942756816268</v>
      </c>
    </row>
    <row r="19" spans="1:10">
      <c r="B19" s="12" t="s">
        <v>2</v>
      </c>
      <c r="C19" s="17">
        <v>0.28783804410182701</v>
      </c>
      <c r="D19" s="17">
        <v>4240.363614351897</v>
      </c>
      <c r="E19" s="18">
        <v>1.0064042948657559</v>
      </c>
      <c r="I19" s="5"/>
      <c r="J19" s="6"/>
    </row>
    <row r="20" spans="1:10">
      <c r="B20" s="12" t="s">
        <v>4</v>
      </c>
      <c r="C20" s="17">
        <v>8.2850739632365306E-2</v>
      </c>
      <c r="D20" s="17">
        <v>17980683.581919484</v>
      </c>
      <c r="E20" s="18">
        <v>1.0128496047242392</v>
      </c>
      <c r="I20" s="5"/>
      <c r="J20" s="6"/>
    </row>
    <row r="21" spans="1:10" ht="13.5" thickBot="1">
      <c r="B21" s="12" t="s">
        <v>5</v>
      </c>
      <c r="C21" s="17">
        <v>3.4713846114892151E-2</v>
      </c>
      <c r="D21" s="17">
        <v>2.6537065734902083</v>
      </c>
      <c r="E21" s="18">
        <v>3.1367520046060172E-2</v>
      </c>
      <c r="I21" s="7"/>
      <c r="J21" s="8"/>
    </row>
    <row r="22" spans="1:10" ht="13.5" thickBot="1">
      <c r="B22" s="13" t="s">
        <v>6</v>
      </c>
      <c r="C22" s="19">
        <v>1.8202676641903988</v>
      </c>
      <c r="D22" s="19">
        <v>9.5527627204278414</v>
      </c>
      <c r="E22" s="20">
        <v>3.1773446090742228</v>
      </c>
    </row>
    <row r="25" spans="1:10">
      <c r="A25" t="s">
        <v>8</v>
      </c>
    </row>
    <row r="26" spans="1:10">
      <c r="A26" s="14" t="s">
        <v>9</v>
      </c>
    </row>
    <row r="27" spans="1:10">
      <c r="A27" s="14" t="s">
        <v>10</v>
      </c>
    </row>
    <row r="28" spans="1:10">
      <c r="A28" s="14" t="s">
        <v>12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B2:H34"/>
  <sheetViews>
    <sheetView zoomScale="115" zoomScaleNormal="115" workbookViewId="0">
      <selection activeCell="C20" sqref="C20:D27"/>
    </sheetView>
  </sheetViews>
  <sheetFormatPr defaultRowHeight="12.75"/>
  <cols>
    <col min="2" max="2" width="31.7109375" bestFit="1" customWidth="1"/>
    <col min="3" max="4" width="21" customWidth="1"/>
    <col min="5" max="5" width="21.140625" customWidth="1"/>
    <col min="6" max="6" width="23.140625" customWidth="1"/>
    <col min="7" max="7" width="25.85546875" bestFit="1" customWidth="1"/>
    <col min="8" max="8" width="12.85546875" bestFit="1" customWidth="1"/>
  </cols>
  <sheetData>
    <row r="2" spans="2:6" ht="13.5" thickBot="1"/>
    <row r="3" spans="2:6">
      <c r="B3" s="45" t="s">
        <v>105</v>
      </c>
      <c r="C3" s="46"/>
    </row>
    <row r="4" spans="2:6" ht="13.5" thickBot="1">
      <c r="B4" s="47" t="s">
        <v>106</v>
      </c>
      <c r="C4" s="48">
        <v>1</v>
      </c>
    </row>
    <row r="6" spans="2:6" ht="40.5" customHeight="1">
      <c r="B6" s="43"/>
      <c r="C6" s="65" t="s">
        <v>100</v>
      </c>
      <c r="D6" s="49" t="s">
        <v>104</v>
      </c>
      <c r="E6" s="50" t="s">
        <v>103</v>
      </c>
      <c r="F6" s="50" t="s">
        <v>107</v>
      </c>
    </row>
    <row r="7" spans="2:6" ht="15">
      <c r="B7" s="61" t="s">
        <v>94</v>
      </c>
      <c r="C7" s="66">
        <v>0.6</v>
      </c>
      <c r="D7" s="73"/>
      <c r="E7" s="52"/>
      <c r="F7" s="52">
        <f ca="1">1-F8</f>
        <v>0.37903008040021779</v>
      </c>
    </row>
    <row r="8" spans="2:6" ht="15">
      <c r="B8" s="61" t="s">
        <v>95</v>
      </c>
      <c r="C8" s="67">
        <v>0.4</v>
      </c>
      <c r="D8" s="73">
        <f>$C$4*C8</f>
        <v>0.4</v>
      </c>
      <c r="E8" s="52">
        <f ca="1">RAND()*((-1)^INT(RAND()*10))*D8</f>
        <v>0.22096991959978213</v>
      </c>
      <c r="F8" s="52">
        <f ca="1">E8+C8</f>
        <v>0.62096991959978221</v>
      </c>
    </row>
    <row r="9" spans="2:6" ht="15">
      <c r="B9" s="62" t="s">
        <v>96</v>
      </c>
      <c r="C9" s="68">
        <v>0.1</v>
      </c>
      <c r="D9" s="74">
        <f t="shared" ref="D9" si="0">$C$4*C9</f>
        <v>0.1</v>
      </c>
      <c r="E9" s="54">
        <f ca="1">RAND()*((-1)^INT(RAND()*10))*D9</f>
        <v>-3.4043300220290805E-2</v>
      </c>
      <c r="F9" s="54">
        <f ca="1">E9+C9</f>
        <v>6.5956699779709194E-2</v>
      </c>
    </row>
    <row r="10" spans="2:6" ht="15">
      <c r="B10" s="62" t="s">
        <v>97</v>
      </c>
      <c r="C10" s="68">
        <v>0.9</v>
      </c>
      <c r="D10" s="72"/>
      <c r="E10" s="54"/>
      <c r="F10" s="54">
        <f ca="1">1-F9</f>
        <v>0.93404330022029081</v>
      </c>
    </row>
    <row r="11" spans="2:6" ht="15">
      <c r="B11" s="63" t="s">
        <v>98</v>
      </c>
      <c r="C11" s="69">
        <v>100</v>
      </c>
      <c r="D11" s="59">
        <f>C11*C4</f>
        <v>100</v>
      </c>
      <c r="E11" s="56">
        <f ca="1">RAND()*((-1)^INT(RAND()*10))*D11</f>
        <v>-91.025516394206107</v>
      </c>
      <c r="F11" s="56">
        <f ca="1">C11+E11</f>
        <v>8.9744836057938926</v>
      </c>
    </row>
    <row r="12" spans="2:6" ht="15">
      <c r="B12" s="63" t="s">
        <v>99</v>
      </c>
      <c r="C12" s="69">
        <v>-20</v>
      </c>
      <c r="D12" s="59">
        <f>C12*C4*-1</f>
        <v>20</v>
      </c>
      <c r="E12" s="56">
        <f ca="1">RAND()*((-1)^INT(RAND()*10))*D12</f>
        <v>1.6644878426939602</v>
      </c>
      <c r="F12" s="56">
        <f ca="1">C12+E12</f>
        <v>-18.335512157306042</v>
      </c>
    </row>
    <row r="13" spans="2:6" ht="15">
      <c r="B13" s="64" t="s">
        <v>101</v>
      </c>
      <c r="C13" s="70">
        <v>500</v>
      </c>
      <c r="D13" s="60">
        <f>C13*C4</f>
        <v>500</v>
      </c>
      <c r="E13" s="58">
        <f ca="1">RAND()*((-1)^INT(RAND()*10))*D13</f>
        <v>-248.70775842700942</v>
      </c>
      <c r="F13" s="58">
        <f ca="1">C13+E13</f>
        <v>251.29224157299058</v>
      </c>
    </row>
    <row r="14" spans="2:6" ht="15">
      <c r="B14" s="64" t="s">
        <v>102</v>
      </c>
      <c r="C14" s="71">
        <v>-10</v>
      </c>
      <c r="D14" s="60">
        <f>C14*C4*-1</f>
        <v>10</v>
      </c>
      <c r="E14" s="58">
        <f ca="1">RAND()*((-1)^INT(RAND()*10))*D14</f>
        <v>2.2391116540766753</v>
      </c>
      <c r="F14" s="58">
        <f ca="1">C14+E14</f>
        <v>-7.7608883459233251</v>
      </c>
    </row>
    <row r="17" spans="3:8">
      <c r="G17" s="42" t="s">
        <v>114</v>
      </c>
      <c r="H17" s="42" t="s">
        <v>115</v>
      </c>
    </row>
    <row r="18" spans="3:8" ht="13.5" thickBot="1">
      <c r="G18" s="51">
        <f ca="1">F7</f>
        <v>0.37903008040021779</v>
      </c>
      <c r="H18" s="55">
        <f ca="1">F11</f>
        <v>8.9744836057938926</v>
      </c>
    </row>
    <row r="19" spans="3:8">
      <c r="C19" s="81" t="s">
        <v>120</v>
      </c>
      <c r="D19" s="82" t="s">
        <v>121</v>
      </c>
      <c r="E19" s="40" t="s">
        <v>118</v>
      </c>
      <c r="G19" s="78" t="s">
        <v>110</v>
      </c>
      <c r="H19" s="41"/>
    </row>
    <row r="20" spans="3:8">
      <c r="C20" s="83">
        <v>1000</v>
      </c>
      <c r="D20" s="85">
        <f ca="1">E34</f>
        <v>0</v>
      </c>
      <c r="E20" s="79" t="s">
        <v>116</v>
      </c>
      <c r="G20" s="75"/>
      <c r="H20" s="41"/>
    </row>
    <row r="21" spans="3:8">
      <c r="C21" s="83" t="s">
        <v>0</v>
      </c>
      <c r="D21" s="85">
        <v>0.57899999999999996</v>
      </c>
      <c r="E21" s="80">
        <f ca="1">(G18*H18)+(G22*H22)</f>
        <v>-7.9842022674886666</v>
      </c>
      <c r="F21" s="1" t="s">
        <v>108</v>
      </c>
      <c r="G21" s="75"/>
      <c r="H21" s="41"/>
    </row>
    <row r="22" spans="3:8">
      <c r="C22" s="83" t="s">
        <v>1</v>
      </c>
      <c r="D22" s="85">
        <v>1.5612783224012328E-2</v>
      </c>
      <c r="G22" s="51">
        <f ca="1">F8</f>
        <v>0.62096991959978221</v>
      </c>
      <c r="H22" s="55">
        <f ca="1">F12</f>
        <v>-18.335512157306042</v>
      </c>
    </row>
    <row r="23" spans="3:8">
      <c r="C23" s="83" t="s">
        <v>3</v>
      </c>
      <c r="D23" s="85">
        <v>1</v>
      </c>
      <c r="G23" s="78" t="s">
        <v>111</v>
      </c>
      <c r="H23" s="41"/>
    </row>
    <row r="24" spans="3:8">
      <c r="C24" s="83" t="s">
        <v>2</v>
      </c>
      <c r="D24" s="85">
        <v>0.49371955602345829</v>
      </c>
      <c r="G24" s="75"/>
      <c r="H24" s="41"/>
    </row>
    <row r="25" spans="3:8">
      <c r="C25" s="83" t="s">
        <v>4</v>
      </c>
      <c r="D25" s="85">
        <v>0.24375900000000078</v>
      </c>
      <c r="G25" s="75"/>
      <c r="H25" s="41"/>
    </row>
    <row r="26" spans="3:8">
      <c r="C26" s="83" t="s">
        <v>5</v>
      </c>
      <c r="D26" s="85">
        <v>-0.32001973199638328</v>
      </c>
      <c r="G26" s="75"/>
      <c r="H26" s="41"/>
    </row>
    <row r="27" spans="3:8" ht="13.5" thickBot="1">
      <c r="C27" s="84" t="s">
        <v>6</v>
      </c>
      <c r="D27" s="86">
        <v>1.1024126288670268</v>
      </c>
      <c r="E27" s="40" t="s">
        <v>117</v>
      </c>
      <c r="G27" s="53">
        <f ca="1">F9</f>
        <v>6.5956699779709194E-2</v>
      </c>
      <c r="H27" s="57">
        <f ca="1">F13</f>
        <v>251.29224157299058</v>
      </c>
    </row>
    <row r="28" spans="3:8">
      <c r="E28" s="79" t="s">
        <v>116</v>
      </c>
      <c r="F28" s="1"/>
      <c r="G28" s="78" t="s">
        <v>112</v>
      </c>
      <c r="H28" s="41"/>
    </row>
    <row r="29" spans="3:8">
      <c r="E29" s="80">
        <f ca="1">(G27*H27)+(G31*H31)</f>
        <v>9.32540117113248</v>
      </c>
      <c r="G29" s="75"/>
      <c r="H29" s="41"/>
    </row>
    <row r="30" spans="3:8">
      <c r="F30" s="1" t="s">
        <v>109</v>
      </c>
      <c r="G30" s="75"/>
      <c r="H30" s="41"/>
    </row>
    <row r="31" spans="3:8">
      <c r="G31" s="53">
        <f ca="1">F10</f>
        <v>0.93404330022029081</v>
      </c>
      <c r="H31" s="57">
        <f ca="1">F14</f>
        <v>-7.7608883459233251</v>
      </c>
    </row>
    <row r="32" spans="3:8">
      <c r="G32" s="78" t="s">
        <v>113</v>
      </c>
    </row>
    <row r="33" spans="5:7">
      <c r="E33" s="1" t="s">
        <v>119</v>
      </c>
      <c r="G33" s="76"/>
    </row>
    <row r="34" spans="5:7">
      <c r="E34">
        <f ca="1">IF(E21&gt;E29,1,0)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B2:C12"/>
  <sheetViews>
    <sheetView workbookViewId="0">
      <selection activeCell="N10" sqref="N10"/>
    </sheetView>
  </sheetViews>
  <sheetFormatPr defaultRowHeight="12.75"/>
  <cols>
    <col min="2" max="2" width="27.42578125" bestFit="1" customWidth="1"/>
    <col min="3" max="3" width="31.85546875" bestFit="1" customWidth="1"/>
  </cols>
  <sheetData>
    <row r="2" spans="2:3">
      <c r="B2" s="77" t="s">
        <v>122</v>
      </c>
      <c r="C2" s="77" t="s">
        <v>123</v>
      </c>
    </row>
    <row r="3" spans="2:3">
      <c r="B3" s="87">
        <v>0.1</v>
      </c>
      <c r="C3" s="44">
        <v>0.96499999999999997</v>
      </c>
    </row>
    <row r="4" spans="2:3">
      <c r="B4" s="87">
        <v>0.2</v>
      </c>
      <c r="C4" s="44">
        <v>0.80700000000000005</v>
      </c>
    </row>
    <row r="5" spans="2:3">
      <c r="B5" s="87">
        <v>0.3</v>
      </c>
      <c r="C5" s="44">
        <v>0.72599999999999998</v>
      </c>
    </row>
    <row r="6" spans="2:3">
      <c r="B6" s="87">
        <v>0.4</v>
      </c>
      <c r="C6" s="44">
        <v>0.66400000000000003</v>
      </c>
    </row>
    <row r="7" spans="2:3">
      <c r="B7" s="87">
        <v>0.5</v>
      </c>
      <c r="C7" s="44">
        <v>0.63700000000000001</v>
      </c>
    </row>
    <row r="8" spans="2:3">
      <c r="B8" s="87">
        <v>0.6</v>
      </c>
      <c r="C8" s="44">
        <v>0.65300000000000002</v>
      </c>
    </row>
    <row r="9" spans="2:3">
      <c r="B9" s="87">
        <v>0.7</v>
      </c>
      <c r="C9" s="44">
        <v>0.59099999999999997</v>
      </c>
    </row>
    <row r="10" spans="2:3">
      <c r="B10" s="87">
        <v>0.8</v>
      </c>
      <c r="C10" s="44">
        <v>0.56999999999999995</v>
      </c>
    </row>
    <row r="11" spans="2:3">
      <c r="B11" s="87">
        <v>0.9</v>
      </c>
      <c r="C11" s="44">
        <v>0.58699999999999997</v>
      </c>
    </row>
    <row r="12" spans="2:3">
      <c r="B12" s="87">
        <v>1</v>
      </c>
      <c r="C12" s="44">
        <v>0.57899999999999996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2:V81"/>
  <sheetViews>
    <sheetView topLeftCell="B37" workbookViewId="0">
      <selection activeCell="F51" sqref="F51:K51"/>
    </sheetView>
  </sheetViews>
  <sheetFormatPr defaultRowHeight="12.75"/>
  <cols>
    <col min="2" max="2" width="25.5703125" customWidth="1"/>
    <col min="3" max="3" width="11.85546875" bestFit="1" customWidth="1"/>
    <col min="4" max="4" width="14.28515625" bestFit="1" customWidth="1"/>
    <col min="5" max="5" width="14.85546875" bestFit="1" customWidth="1"/>
    <col min="6" max="6" width="21.42578125" bestFit="1" customWidth="1"/>
    <col min="7" max="7" width="14.28515625" bestFit="1" customWidth="1"/>
    <col min="8" max="8" width="6.85546875" bestFit="1" customWidth="1"/>
    <col min="10" max="10" width="14.28515625" bestFit="1" customWidth="1"/>
    <col min="11" max="11" width="12" bestFit="1" customWidth="1"/>
    <col min="13" max="13" width="14.28515625" bestFit="1" customWidth="1"/>
    <col min="14" max="14" width="4" bestFit="1" customWidth="1"/>
    <col min="18" max="18" width="12" bestFit="1" customWidth="1"/>
    <col min="19" max="21" width="9.28515625" bestFit="1" customWidth="1"/>
  </cols>
  <sheetData>
    <row r="2" spans="2:22" ht="27.75" customHeight="1" thickBot="1">
      <c r="B2" s="88" t="s">
        <v>124</v>
      </c>
    </row>
    <row r="3" spans="2:22">
      <c r="C3" s="164" t="s">
        <v>133</v>
      </c>
      <c r="D3" s="165"/>
      <c r="E3" s="166"/>
      <c r="F3" s="167" t="s">
        <v>143</v>
      </c>
      <c r="G3" s="168"/>
      <c r="H3" s="168"/>
      <c r="I3" s="168"/>
      <c r="J3" s="168"/>
      <c r="K3" s="169"/>
    </row>
    <row r="4" spans="2:22">
      <c r="B4" s="77" t="s">
        <v>125</v>
      </c>
      <c r="C4" s="92" t="s">
        <v>134</v>
      </c>
      <c r="D4" s="92" t="s">
        <v>135</v>
      </c>
      <c r="E4" s="92" t="s">
        <v>136</v>
      </c>
      <c r="F4" s="90" t="s">
        <v>137</v>
      </c>
      <c r="G4" s="90" t="s">
        <v>138</v>
      </c>
      <c r="H4" s="90" t="s">
        <v>139</v>
      </c>
      <c r="I4" s="90" t="s">
        <v>140</v>
      </c>
      <c r="J4" s="90" t="s">
        <v>141</v>
      </c>
      <c r="K4" s="90" t="s">
        <v>142</v>
      </c>
    </row>
    <row r="5" spans="2:22">
      <c r="B5" s="1" t="s">
        <v>126</v>
      </c>
      <c r="C5" s="93">
        <v>30000</v>
      </c>
      <c r="D5" s="93">
        <v>2000</v>
      </c>
      <c r="E5" s="93">
        <v>3000</v>
      </c>
      <c r="F5" s="91">
        <v>0</v>
      </c>
      <c r="G5" s="91">
        <v>60</v>
      </c>
      <c r="H5" s="91"/>
      <c r="I5" s="91">
        <v>1000</v>
      </c>
      <c r="J5" s="91"/>
      <c r="K5" s="91">
        <v>90</v>
      </c>
    </row>
    <row r="6" spans="2:22" ht="13.5" thickBot="1">
      <c r="B6" s="1" t="s">
        <v>127</v>
      </c>
      <c r="C6" s="93">
        <v>15000</v>
      </c>
      <c r="D6" s="93">
        <v>800</v>
      </c>
      <c r="E6" s="93">
        <v>2000</v>
      </c>
      <c r="F6" s="91">
        <v>4</v>
      </c>
      <c r="G6" s="91">
        <v>80</v>
      </c>
      <c r="H6" s="91"/>
      <c r="I6" s="91">
        <v>550</v>
      </c>
      <c r="J6" s="91"/>
      <c r="K6" s="91">
        <v>30</v>
      </c>
    </row>
    <row r="7" spans="2:22">
      <c r="B7" s="1" t="s">
        <v>128</v>
      </c>
      <c r="C7" s="93">
        <v>5000</v>
      </c>
      <c r="D7" s="93">
        <v>700</v>
      </c>
      <c r="E7" s="93">
        <v>1000</v>
      </c>
      <c r="F7" s="91">
        <v>1</v>
      </c>
      <c r="G7" s="91">
        <v>70</v>
      </c>
      <c r="H7" s="91"/>
      <c r="I7" s="91">
        <v>400</v>
      </c>
      <c r="J7" s="91"/>
      <c r="K7" s="91">
        <v>100</v>
      </c>
      <c r="R7" s="96" t="s">
        <v>151</v>
      </c>
      <c r="S7" s="97"/>
      <c r="T7" s="97"/>
      <c r="U7" s="97"/>
      <c r="V7" s="26"/>
    </row>
    <row r="8" spans="2:22">
      <c r="B8" s="1" t="s">
        <v>129</v>
      </c>
      <c r="C8" s="93">
        <v>12000</v>
      </c>
      <c r="D8" s="93">
        <v>1100</v>
      </c>
      <c r="E8" s="93">
        <v>1000</v>
      </c>
      <c r="F8" s="91">
        <v>1.2</v>
      </c>
      <c r="G8" s="91">
        <v>50</v>
      </c>
      <c r="H8" s="91"/>
      <c r="I8" s="91">
        <v>800</v>
      </c>
      <c r="J8" s="91"/>
      <c r="K8" s="91">
        <v>90</v>
      </c>
      <c r="R8" s="5"/>
      <c r="S8" s="98"/>
      <c r="T8" s="98"/>
      <c r="U8" s="98"/>
      <c r="V8" s="6"/>
    </row>
    <row r="9" spans="2:22">
      <c r="B9" s="1" t="s">
        <v>130</v>
      </c>
      <c r="C9" s="93">
        <v>30000</v>
      </c>
      <c r="D9" s="93">
        <v>2300</v>
      </c>
      <c r="E9" s="93">
        <v>2500</v>
      </c>
      <c r="F9" s="91">
        <v>2</v>
      </c>
      <c r="G9" s="91">
        <v>60</v>
      </c>
      <c r="H9" s="91"/>
      <c r="I9" s="91">
        <v>1500</v>
      </c>
      <c r="J9" s="91"/>
      <c r="K9" s="91">
        <v>70</v>
      </c>
      <c r="R9" s="94" t="s">
        <v>147</v>
      </c>
      <c r="S9" s="100" t="s">
        <v>146</v>
      </c>
      <c r="T9" s="100" t="s">
        <v>148</v>
      </c>
      <c r="U9" s="100" t="s">
        <v>149</v>
      </c>
      <c r="V9" s="6"/>
    </row>
    <row r="10" spans="2:22">
      <c r="B10" s="1" t="s">
        <v>131</v>
      </c>
      <c r="C10" s="93">
        <v>15000</v>
      </c>
      <c r="D10" s="93">
        <v>2600</v>
      </c>
      <c r="E10" s="93">
        <v>1000</v>
      </c>
      <c r="F10" s="91">
        <v>8</v>
      </c>
      <c r="G10" s="91">
        <v>0</v>
      </c>
      <c r="H10" s="91"/>
      <c r="I10" s="91">
        <v>400</v>
      </c>
      <c r="J10" s="91"/>
      <c r="K10" s="91">
        <v>0</v>
      </c>
      <c r="R10" s="5">
        <f>K15</f>
        <v>0</v>
      </c>
      <c r="S10" s="98">
        <f>J15</f>
        <v>400</v>
      </c>
      <c r="T10" s="98">
        <f>S10^2</f>
        <v>160000</v>
      </c>
      <c r="U10" s="98">
        <f>S10^3</f>
        <v>64000000</v>
      </c>
      <c r="V10" s="6">
        <f>$U$16+($R$16*U10)+($S$16*T10)+($T$16*S10)</f>
        <v>1.3201744057431029</v>
      </c>
    </row>
    <row r="11" spans="2:22">
      <c r="B11" s="1" t="s">
        <v>132</v>
      </c>
      <c r="C11" s="93">
        <v>10000</v>
      </c>
      <c r="D11" s="93">
        <v>900</v>
      </c>
      <c r="E11" s="93">
        <v>1100</v>
      </c>
      <c r="F11" s="91">
        <v>1.3</v>
      </c>
      <c r="G11" s="91">
        <v>100</v>
      </c>
      <c r="H11" s="91"/>
      <c r="I11" s="91">
        <v>700</v>
      </c>
      <c r="J11" s="91"/>
      <c r="K11" s="91">
        <v>80</v>
      </c>
      <c r="R11" s="5">
        <f>K16</f>
        <v>25</v>
      </c>
      <c r="S11" s="98">
        <f>J16</f>
        <v>500</v>
      </c>
      <c r="T11" s="98">
        <f t="shared" ref="T11:T14" si="0">S11^2</f>
        <v>250000</v>
      </c>
      <c r="U11" s="98">
        <f t="shared" ref="U11:U14" si="1">S11^3</f>
        <v>125000000</v>
      </c>
      <c r="V11" s="6">
        <f t="shared" ref="V11:V14" si="2">$U$16+($R$16*U11)+($S$16*T11)+($T$16*S11)</f>
        <v>22.386054676628646</v>
      </c>
    </row>
    <row r="12" spans="2:22" ht="13.5" thickBot="1">
      <c r="R12" s="5">
        <f>K17</f>
        <v>50</v>
      </c>
      <c r="S12" s="98">
        <f>J17</f>
        <v>700</v>
      </c>
      <c r="T12" s="98">
        <f t="shared" si="0"/>
        <v>490000</v>
      </c>
      <c r="U12" s="98">
        <f t="shared" si="1"/>
        <v>343000000</v>
      </c>
      <c r="V12" s="6">
        <f t="shared" si="2"/>
        <v>51.815239807896774</v>
      </c>
    </row>
    <row r="13" spans="2:22">
      <c r="C13" s="170" t="s">
        <v>137</v>
      </c>
      <c r="D13" s="171"/>
      <c r="J13" s="170" t="s">
        <v>140</v>
      </c>
      <c r="K13" s="171"/>
      <c r="R13" s="5">
        <f>K18</f>
        <v>75</v>
      </c>
      <c r="S13" s="98">
        <f>J18</f>
        <v>1000</v>
      </c>
      <c r="T13" s="98">
        <f t="shared" si="0"/>
        <v>1000000</v>
      </c>
      <c r="U13" s="98">
        <f t="shared" si="1"/>
        <v>1000000000</v>
      </c>
      <c r="V13" s="6">
        <f t="shared" si="2"/>
        <v>74.419123261473032</v>
      </c>
    </row>
    <row r="14" spans="2:22" ht="13.5" thickBot="1">
      <c r="C14" s="94" t="s">
        <v>146</v>
      </c>
      <c r="D14" s="95" t="s">
        <v>147</v>
      </c>
      <c r="J14" s="94" t="s">
        <v>146</v>
      </c>
      <c r="K14" s="95" t="s">
        <v>147</v>
      </c>
      <c r="R14" s="5">
        <f>K19</f>
        <v>100</v>
      </c>
      <c r="S14" s="98">
        <f>J19</f>
        <v>1500</v>
      </c>
      <c r="T14" s="98">
        <f t="shared" si="0"/>
        <v>2250000</v>
      </c>
      <c r="U14" s="98">
        <f t="shared" si="1"/>
        <v>3375000000</v>
      </c>
      <c r="V14" s="6">
        <f t="shared" si="2"/>
        <v>100.0594078482585</v>
      </c>
    </row>
    <row r="15" spans="2:22">
      <c r="C15" s="5">
        <v>0</v>
      </c>
      <c r="D15" s="6">
        <v>100</v>
      </c>
      <c r="J15" s="5">
        <v>400</v>
      </c>
      <c r="K15" s="6">
        <v>0</v>
      </c>
      <c r="R15" s="96" t="s">
        <v>150</v>
      </c>
      <c r="S15" s="97"/>
      <c r="T15" s="97"/>
      <c r="U15" s="26"/>
      <c r="V15" s="6"/>
    </row>
    <row r="16" spans="2:22">
      <c r="C16" s="5">
        <v>1</v>
      </c>
      <c r="D16" s="6">
        <v>80</v>
      </c>
      <c r="J16" s="5">
        <v>500</v>
      </c>
      <c r="K16" s="6">
        <v>25</v>
      </c>
      <c r="R16" s="5">
        <f t="array" ref="R16:U20">LINEST(R10:R14,S10:U14,TRUE,1)</f>
        <v>1.1351715869923566E-7</v>
      </c>
      <c r="S16" s="98">
        <v>-3.9333704409382495E-4</v>
      </c>
      <c r="T16" s="98">
        <v>0.49541667558676383</v>
      </c>
      <c r="U16" s="6">
        <v>-141.17766693070152</v>
      </c>
      <c r="V16" s="6"/>
    </row>
    <row r="17" spans="3:22">
      <c r="C17" s="5">
        <v>2</v>
      </c>
      <c r="D17" s="6">
        <v>40</v>
      </c>
      <c r="J17" s="5">
        <v>700</v>
      </c>
      <c r="K17" s="6">
        <v>50</v>
      </c>
      <c r="R17" s="5">
        <v>6.0051007763226646E-8</v>
      </c>
      <c r="S17" s="98">
        <v>1.6950189820335343E-4</v>
      </c>
      <c r="T17" s="98">
        <v>0.14433418014490712</v>
      </c>
      <c r="U17" s="6">
        <v>36.661622373753588</v>
      </c>
      <c r="V17" s="6"/>
    </row>
    <row r="18" spans="3:22">
      <c r="C18" s="5">
        <v>4</v>
      </c>
      <c r="D18" s="6">
        <v>20</v>
      </c>
      <c r="J18" s="5">
        <v>1000</v>
      </c>
      <c r="K18" s="6">
        <v>75</v>
      </c>
      <c r="R18" s="5">
        <v>0.99804614187950025</v>
      </c>
      <c r="S18" s="98">
        <v>3.4945118762316074</v>
      </c>
      <c r="T18" s="98" t="e">
        <v>#N/A</v>
      </c>
      <c r="U18" s="6" t="e">
        <v>#N/A</v>
      </c>
      <c r="V18" s="6"/>
    </row>
    <row r="19" spans="3:22" ht="13.5" thickBot="1">
      <c r="C19" s="7">
        <v>8</v>
      </c>
      <c r="D19" s="8">
        <v>0</v>
      </c>
      <c r="J19" s="7">
        <v>1500</v>
      </c>
      <c r="K19" s="8">
        <v>100</v>
      </c>
      <c r="R19" s="5">
        <v>170.26929632335134</v>
      </c>
      <c r="S19" s="98">
        <v>1</v>
      </c>
      <c r="T19" s="98" t="e">
        <v>#N/A</v>
      </c>
      <c r="U19" s="6" t="e">
        <v>#N/A</v>
      </c>
      <c r="V19" s="6"/>
    </row>
    <row r="20" spans="3:22" ht="13.5" thickBot="1">
      <c r="R20" s="7">
        <v>6237.7883867468763</v>
      </c>
      <c r="S20" s="99">
        <v>12.211613253123749</v>
      </c>
      <c r="T20" s="99" t="e">
        <v>#N/A</v>
      </c>
      <c r="U20" s="8" t="e">
        <v>#N/A</v>
      </c>
      <c r="V20" s="8"/>
    </row>
    <row r="21" spans="3:22" ht="13.5" thickBot="1"/>
    <row r="22" spans="3:22">
      <c r="M22" s="101" t="s">
        <v>144</v>
      </c>
      <c r="N22" s="102"/>
      <c r="R22" s="1"/>
    </row>
    <row r="23" spans="3:22" ht="13.5" thickBot="1">
      <c r="M23" s="103" t="s">
        <v>126</v>
      </c>
      <c r="N23" s="104">
        <v>100</v>
      </c>
    </row>
    <row r="24" spans="3:22">
      <c r="M24" s="103" t="s">
        <v>130</v>
      </c>
      <c r="N24" s="104">
        <v>90</v>
      </c>
      <c r="R24" s="96" t="s">
        <v>152</v>
      </c>
      <c r="S24" s="97"/>
      <c r="T24" s="97"/>
      <c r="U24" s="97"/>
      <c r="V24" s="26"/>
    </row>
    <row r="25" spans="3:22">
      <c r="M25" s="105"/>
      <c r="N25" s="104">
        <v>80</v>
      </c>
      <c r="R25" s="5"/>
      <c r="S25" s="98"/>
      <c r="T25" s="98"/>
      <c r="U25" s="98"/>
      <c r="V25" s="6"/>
    </row>
    <row r="26" spans="3:22">
      <c r="M26" s="103" t="s">
        <v>131</v>
      </c>
      <c r="N26" s="104">
        <v>70</v>
      </c>
      <c r="R26" s="94" t="s">
        <v>147</v>
      </c>
      <c r="S26" s="100" t="s">
        <v>146</v>
      </c>
      <c r="T26" s="100" t="s">
        <v>148</v>
      </c>
      <c r="U26" s="100" t="s">
        <v>149</v>
      </c>
      <c r="V26" s="6"/>
    </row>
    <row r="27" spans="3:22">
      <c r="M27" s="105"/>
      <c r="N27" s="104">
        <v>60</v>
      </c>
      <c r="R27" s="5">
        <f>D15</f>
        <v>100</v>
      </c>
      <c r="S27" s="98">
        <f>C15</f>
        <v>0</v>
      </c>
      <c r="T27" s="98">
        <f>S27^2</f>
        <v>0</v>
      </c>
      <c r="U27" s="98">
        <f>S27^3</f>
        <v>0</v>
      </c>
      <c r="V27" s="6">
        <f>$U$16+($R$16*U27)+($S$16*T27)+($T$16*S27)</f>
        <v>-141.17766693070152</v>
      </c>
    </row>
    <row r="28" spans="3:22">
      <c r="M28" s="105"/>
      <c r="N28" s="104">
        <v>50</v>
      </c>
      <c r="R28" s="5">
        <f t="shared" ref="R28:R31" si="3">D16</f>
        <v>80</v>
      </c>
      <c r="S28" s="98">
        <f t="shared" ref="S28:S31" si="4">C16</f>
        <v>1</v>
      </c>
      <c r="T28" s="98">
        <f t="shared" ref="T28:T31" si="5">S28^2</f>
        <v>1</v>
      </c>
      <c r="U28" s="98">
        <f t="shared" ref="U28:U31" si="6">S28^3</f>
        <v>1</v>
      </c>
      <c r="V28" s="6">
        <f t="shared" ref="V28:V31" si="7">$U$16+($R$16*U28)+($S$16*T28)+($T$16*S28)</f>
        <v>-140.68264347864169</v>
      </c>
    </row>
    <row r="29" spans="3:22">
      <c r="M29" s="105"/>
      <c r="N29" s="104">
        <v>40</v>
      </c>
      <c r="R29" s="5">
        <f t="shared" si="3"/>
        <v>40</v>
      </c>
      <c r="S29" s="98">
        <f t="shared" si="4"/>
        <v>2</v>
      </c>
      <c r="T29" s="98">
        <f t="shared" si="5"/>
        <v>4</v>
      </c>
      <c r="U29" s="98">
        <f t="shared" si="6"/>
        <v>8</v>
      </c>
      <c r="V29" s="6">
        <f t="shared" si="7"/>
        <v>-140.18840601956708</v>
      </c>
    </row>
    <row r="30" spans="3:22">
      <c r="M30" s="103" t="s">
        <v>129</v>
      </c>
      <c r="N30" s="104">
        <v>30</v>
      </c>
      <c r="R30" s="5">
        <f t="shared" si="3"/>
        <v>20</v>
      </c>
      <c r="S30" s="98">
        <f t="shared" si="4"/>
        <v>4</v>
      </c>
      <c r="T30" s="98">
        <f t="shared" si="5"/>
        <v>16</v>
      </c>
      <c r="U30" s="98">
        <f t="shared" si="6"/>
        <v>64</v>
      </c>
      <c r="V30" s="6">
        <f t="shared" si="7"/>
        <v>-139.2022863559618</v>
      </c>
    </row>
    <row r="31" spans="3:22" ht="13.5" thickBot="1">
      <c r="M31" s="103" t="s">
        <v>132</v>
      </c>
      <c r="N31" s="104">
        <v>20</v>
      </c>
      <c r="R31" s="5">
        <f t="shared" si="3"/>
        <v>0</v>
      </c>
      <c r="S31" s="98">
        <f t="shared" si="4"/>
        <v>8</v>
      </c>
      <c r="T31" s="98">
        <f t="shared" si="5"/>
        <v>64</v>
      </c>
      <c r="U31" s="98">
        <f t="shared" si="6"/>
        <v>512</v>
      </c>
      <c r="V31" s="6">
        <f t="shared" si="7"/>
        <v>-137.23944897604417</v>
      </c>
    </row>
    <row r="32" spans="3:22">
      <c r="M32" s="103" t="s">
        <v>127</v>
      </c>
      <c r="N32" s="104">
        <v>10</v>
      </c>
      <c r="R32" s="96" t="s">
        <v>150</v>
      </c>
      <c r="S32" s="97"/>
      <c r="T32" s="97"/>
      <c r="U32" s="26"/>
      <c r="V32" s="6"/>
    </row>
    <row r="33" spans="6:22" ht="13.5" thickBot="1">
      <c r="M33" s="106" t="s">
        <v>128</v>
      </c>
      <c r="N33" s="107">
        <v>0</v>
      </c>
      <c r="R33" s="5">
        <f t="array" ref="R33:U37">LINEST(R27:R31,S27:U31,TRUE,1)</f>
        <v>-0.19112664125370593</v>
      </c>
      <c r="S33" s="98">
        <v>4.378970775095298</v>
      </c>
      <c r="T33" s="98">
        <v>-35.636382888606526</v>
      </c>
      <c r="U33" s="6">
        <v>102.8284625158831</v>
      </c>
      <c r="V33" s="6"/>
    </row>
    <row r="34" spans="6:22">
      <c r="R34" s="5">
        <v>0.56330345970663454</v>
      </c>
      <c r="S34" s="98">
        <v>6.5248252315928621</v>
      </c>
      <c r="T34" s="98">
        <v>18.06367275359052</v>
      </c>
      <c r="U34" s="6">
        <v>11.609040119782598</v>
      </c>
      <c r="V34" s="6"/>
    </row>
    <row r="35" spans="6:22" ht="13.5" thickBot="1">
      <c r="R35" s="5">
        <v>0.97924854466475586</v>
      </c>
      <c r="S35" s="98">
        <v>11.948640621697528</v>
      </c>
      <c r="T35" s="98" t="e">
        <v>#N/A</v>
      </c>
      <c r="U35" s="6" t="e">
        <v>#N/A</v>
      </c>
      <c r="V35" s="6"/>
    </row>
    <row r="36" spans="6:22">
      <c r="M36" s="109" t="s">
        <v>145</v>
      </c>
      <c r="N36" s="110"/>
      <c r="R36" s="5">
        <v>15.72979708081168</v>
      </c>
      <c r="S36" s="98">
        <v>1</v>
      </c>
      <c r="T36" s="98" t="e">
        <v>#N/A</v>
      </c>
      <c r="U36" s="6" t="e">
        <v>#N/A</v>
      </c>
      <c r="V36" s="6"/>
    </row>
    <row r="37" spans="6:22" ht="13.5" thickBot="1">
      <c r="M37" s="111" t="s">
        <v>127</v>
      </c>
      <c r="N37" s="112">
        <v>100</v>
      </c>
      <c r="R37" s="7">
        <v>6737.22998729352</v>
      </c>
      <c r="S37" s="99">
        <v>142.77001270648029</v>
      </c>
      <c r="T37" s="99" t="e">
        <v>#N/A</v>
      </c>
      <c r="U37" s="8" t="e">
        <v>#N/A</v>
      </c>
      <c r="V37" s="8"/>
    </row>
    <row r="38" spans="6:22">
      <c r="M38" s="111"/>
      <c r="N38" s="112">
        <v>90</v>
      </c>
    </row>
    <row r="39" spans="6:22">
      <c r="M39" s="111" t="s">
        <v>131</v>
      </c>
      <c r="N39" s="112">
        <v>80</v>
      </c>
    </row>
    <row r="40" spans="6:22" ht="13.5" thickBot="1">
      <c r="M40" s="111"/>
      <c r="N40" s="112">
        <v>70</v>
      </c>
    </row>
    <row r="41" spans="6:22">
      <c r="F41" s="167" t="s">
        <v>143</v>
      </c>
      <c r="G41" s="168"/>
      <c r="H41" s="168"/>
      <c r="I41" s="168"/>
      <c r="J41" s="168"/>
      <c r="K41" s="169"/>
      <c r="M41" s="111" t="s">
        <v>130</v>
      </c>
      <c r="N41" s="112">
        <v>60</v>
      </c>
    </row>
    <row r="42" spans="6:22">
      <c r="F42" s="120" t="s">
        <v>137</v>
      </c>
      <c r="G42" s="90" t="s">
        <v>138</v>
      </c>
      <c r="H42" s="108" t="s">
        <v>139</v>
      </c>
      <c r="I42" s="118" t="s">
        <v>140</v>
      </c>
      <c r="J42" s="116" t="s">
        <v>141</v>
      </c>
      <c r="K42" s="90" t="s">
        <v>142</v>
      </c>
      <c r="M42" s="111" t="s">
        <v>132</v>
      </c>
      <c r="N42" s="112">
        <v>50</v>
      </c>
    </row>
    <row r="43" spans="6:22">
      <c r="F43" s="121">
        <f>MIN(100,$U$33+($R$33*F5^3)+($S$33*F5^2)+($T$33*F5))</f>
        <v>100</v>
      </c>
      <c r="G43" s="91">
        <v>60</v>
      </c>
      <c r="H43" s="54">
        <v>100</v>
      </c>
      <c r="I43" s="119">
        <f>MIN(100,$U$16+($R$16*I5^3)+($S$16*I5^2)+($T$16*I5))</f>
        <v>74.419123261473032</v>
      </c>
      <c r="J43" s="117">
        <v>0</v>
      </c>
      <c r="K43" s="91">
        <v>90</v>
      </c>
      <c r="M43" s="113"/>
      <c r="N43" s="112">
        <v>40</v>
      </c>
    </row>
    <row r="44" spans="6:22">
      <c r="F44" s="121">
        <f t="shared" ref="F44:F49" si="8">MIN(100,$U$33+($R$33*F6^3)+($S$33*F6^2)+($T$33*F6))</f>
        <v>18.114358322744607</v>
      </c>
      <c r="G44" s="91">
        <v>80</v>
      </c>
      <c r="H44" s="54">
        <v>10</v>
      </c>
      <c r="I44" s="119">
        <f t="shared" ref="I44:I49" si="9">MIN(100,$U$16+($R$16*I6^3)+($S$16*I6^2)+($T$16*I6))</f>
        <v>31.203466082221894</v>
      </c>
      <c r="J44" s="117">
        <v>100</v>
      </c>
      <c r="K44" s="91">
        <v>30</v>
      </c>
      <c r="M44" s="111" t="s">
        <v>129</v>
      </c>
      <c r="N44" s="112">
        <v>30</v>
      </c>
    </row>
    <row r="45" spans="6:22">
      <c r="F45" s="121">
        <f t="shared" si="8"/>
        <v>71.379923761118164</v>
      </c>
      <c r="G45" s="91">
        <v>70</v>
      </c>
      <c r="H45" s="54">
        <v>0</v>
      </c>
      <c r="I45" s="119">
        <f t="shared" si="9"/>
        <v>1.3201744057431029</v>
      </c>
      <c r="J45" s="117">
        <v>10</v>
      </c>
      <c r="K45" s="91">
        <v>100</v>
      </c>
      <c r="M45" s="111"/>
      <c r="N45" s="112">
        <v>20</v>
      </c>
    </row>
    <row r="46" spans="6:22">
      <c r="F46" s="121">
        <f t="shared" si="8"/>
        <v>66.040254129606097</v>
      </c>
      <c r="G46" s="91">
        <v>50</v>
      </c>
      <c r="H46" s="54">
        <v>30</v>
      </c>
      <c r="I46" s="119">
        <f t="shared" si="9"/>
        <v>61.54075057267022</v>
      </c>
      <c r="J46" s="117">
        <v>30</v>
      </c>
      <c r="K46" s="91">
        <v>90</v>
      </c>
      <c r="M46" s="111" t="s">
        <v>128</v>
      </c>
      <c r="N46" s="112">
        <v>10</v>
      </c>
    </row>
    <row r="47" spans="6:22" ht="13.5" thickBot="1">
      <c r="F47" s="121">
        <f t="shared" si="8"/>
        <v>47.542566709021585</v>
      </c>
      <c r="G47" s="91">
        <v>60</v>
      </c>
      <c r="H47" s="54">
        <v>90</v>
      </c>
      <c r="I47" s="119">
        <f t="shared" si="9"/>
        <v>100</v>
      </c>
      <c r="J47" s="117">
        <v>60</v>
      </c>
      <c r="K47" s="91">
        <v>70</v>
      </c>
      <c r="M47" s="114" t="s">
        <v>126</v>
      </c>
      <c r="N47" s="115">
        <v>0</v>
      </c>
    </row>
    <row r="48" spans="6:22">
      <c r="F48" s="121">
        <f t="shared" si="8"/>
        <v>0.1346886912324976</v>
      </c>
      <c r="G48" s="91">
        <v>0</v>
      </c>
      <c r="H48" s="54">
        <v>70</v>
      </c>
      <c r="I48" s="119">
        <f t="shared" si="9"/>
        <v>1.3201744057431029</v>
      </c>
      <c r="J48" s="117">
        <v>80</v>
      </c>
      <c r="K48" s="91">
        <v>0</v>
      </c>
    </row>
    <row r="49" spans="2:11">
      <c r="F49" s="121">
        <f t="shared" si="8"/>
        <v>63.481720139771276</v>
      </c>
      <c r="G49" s="91">
        <v>100</v>
      </c>
      <c r="H49" s="54">
        <v>20</v>
      </c>
      <c r="I49" s="119">
        <f t="shared" si="9"/>
        <v>51.815239807896774</v>
      </c>
      <c r="J49" s="117">
        <v>50</v>
      </c>
      <c r="K49" s="91">
        <v>80</v>
      </c>
    </row>
    <row r="50" spans="2:11">
      <c r="F50" s="121"/>
      <c r="G50" s="91"/>
      <c r="H50" s="54"/>
      <c r="I50" s="119"/>
      <c r="J50" s="117"/>
      <c r="K50" s="91"/>
    </row>
    <row r="51" spans="2:11">
      <c r="E51" s="15" t="s">
        <v>153</v>
      </c>
      <c r="F51" s="121">
        <v>32</v>
      </c>
      <c r="G51" s="89">
        <v>26</v>
      </c>
      <c r="H51" s="122">
        <v>23</v>
      </c>
      <c r="I51" s="119">
        <v>10</v>
      </c>
      <c r="J51" s="123">
        <v>6</v>
      </c>
      <c r="K51" s="89">
        <v>3</v>
      </c>
    </row>
    <row r="52" spans="2:11" ht="13.5" thickBot="1"/>
    <row r="53" spans="2:11">
      <c r="C53" s="164" t="s">
        <v>133</v>
      </c>
      <c r="D53" s="165"/>
      <c r="E53" s="166"/>
      <c r="F53" s="167" t="s">
        <v>143</v>
      </c>
      <c r="G53" s="168"/>
      <c r="H53" s="168"/>
      <c r="I53" s="168"/>
      <c r="J53" s="168"/>
      <c r="K53" s="169"/>
    </row>
    <row r="54" spans="2:11">
      <c r="B54" s="77" t="s">
        <v>125</v>
      </c>
      <c r="C54" s="92" t="s">
        <v>134</v>
      </c>
      <c r="D54" s="92" t="s">
        <v>135</v>
      </c>
      <c r="E54" s="92" t="s">
        <v>136</v>
      </c>
      <c r="F54" s="120" t="s">
        <v>137</v>
      </c>
      <c r="G54" s="90" t="s">
        <v>138</v>
      </c>
      <c r="H54" s="108" t="s">
        <v>139</v>
      </c>
      <c r="I54" s="118" t="s">
        <v>140</v>
      </c>
      <c r="J54" s="116" t="s">
        <v>141</v>
      </c>
      <c r="K54" s="90" t="s">
        <v>142</v>
      </c>
    </row>
    <row r="55" spans="2:11">
      <c r="B55" s="1" t="s">
        <v>126</v>
      </c>
      <c r="C55" s="93">
        <v>30000</v>
      </c>
      <c r="D55" s="93">
        <v>2000</v>
      </c>
      <c r="E55" s="93">
        <v>3000</v>
      </c>
      <c r="F55" s="124">
        <f>F43*F$51</f>
        <v>3200</v>
      </c>
      <c r="G55" s="125">
        <f t="shared" ref="G55:K55" si="10">G43*G$51</f>
        <v>1560</v>
      </c>
      <c r="H55" s="126">
        <f t="shared" si="10"/>
        <v>2300</v>
      </c>
      <c r="I55" s="127">
        <f t="shared" si="10"/>
        <v>744.19123261473032</v>
      </c>
      <c r="J55" s="128">
        <f t="shared" si="10"/>
        <v>0</v>
      </c>
      <c r="K55" s="125">
        <f t="shared" si="10"/>
        <v>270</v>
      </c>
    </row>
    <row r="56" spans="2:11">
      <c r="B56" s="1" t="s">
        <v>127</v>
      </c>
      <c r="C56" s="93">
        <v>15000</v>
      </c>
      <c r="D56" s="93">
        <v>800</v>
      </c>
      <c r="E56" s="93">
        <v>2000</v>
      </c>
      <c r="F56" s="121">
        <f t="shared" ref="F56:K56" si="11">F44*F$51</f>
        <v>579.65946632782743</v>
      </c>
      <c r="G56" s="91">
        <f t="shared" si="11"/>
        <v>2080</v>
      </c>
      <c r="H56" s="54">
        <f t="shared" si="11"/>
        <v>230</v>
      </c>
      <c r="I56" s="119">
        <f t="shared" si="11"/>
        <v>312.03466082221894</v>
      </c>
      <c r="J56" s="117">
        <f t="shared" si="11"/>
        <v>600</v>
      </c>
      <c r="K56" s="91">
        <f t="shared" si="11"/>
        <v>90</v>
      </c>
    </row>
    <row r="57" spans="2:11">
      <c r="B57" s="1" t="s">
        <v>128</v>
      </c>
      <c r="C57" s="93">
        <v>5000</v>
      </c>
      <c r="D57" s="93">
        <v>700</v>
      </c>
      <c r="E57" s="93">
        <v>1000</v>
      </c>
      <c r="F57" s="121">
        <f t="shared" ref="F57:K57" si="12">F45*F$51</f>
        <v>2284.1575603557812</v>
      </c>
      <c r="G57" s="91">
        <f t="shared" si="12"/>
        <v>1820</v>
      </c>
      <c r="H57" s="54">
        <f t="shared" si="12"/>
        <v>0</v>
      </c>
      <c r="I57" s="119">
        <f t="shared" si="12"/>
        <v>13.201744057431029</v>
      </c>
      <c r="J57" s="117">
        <f t="shared" si="12"/>
        <v>60</v>
      </c>
      <c r="K57" s="91">
        <f t="shared" si="12"/>
        <v>300</v>
      </c>
    </row>
    <row r="58" spans="2:11">
      <c r="B58" s="1" t="s">
        <v>129</v>
      </c>
      <c r="C58" s="93">
        <v>12000</v>
      </c>
      <c r="D58" s="93">
        <v>1100</v>
      </c>
      <c r="E58" s="93">
        <v>1000</v>
      </c>
      <c r="F58" s="121">
        <f t="shared" ref="F58:K58" si="13">F46*F$51</f>
        <v>2113.2881321473951</v>
      </c>
      <c r="G58" s="91">
        <f t="shared" si="13"/>
        <v>1300</v>
      </c>
      <c r="H58" s="54">
        <f t="shared" si="13"/>
        <v>690</v>
      </c>
      <c r="I58" s="119">
        <f t="shared" si="13"/>
        <v>615.4075057267022</v>
      </c>
      <c r="J58" s="117">
        <f t="shared" si="13"/>
        <v>180</v>
      </c>
      <c r="K58" s="91">
        <f t="shared" si="13"/>
        <v>270</v>
      </c>
    </row>
    <row r="59" spans="2:11">
      <c r="B59" s="1" t="s">
        <v>130</v>
      </c>
      <c r="C59" s="93">
        <v>30000</v>
      </c>
      <c r="D59" s="93">
        <v>2300</v>
      </c>
      <c r="E59" s="93">
        <v>2500</v>
      </c>
      <c r="F59" s="121">
        <f t="shared" ref="F59:K59" si="14">F47*F$51</f>
        <v>1521.3621346886907</v>
      </c>
      <c r="G59" s="91">
        <f t="shared" si="14"/>
        <v>1560</v>
      </c>
      <c r="H59" s="54">
        <f t="shared" si="14"/>
        <v>2070</v>
      </c>
      <c r="I59" s="119">
        <f t="shared" si="14"/>
        <v>1000</v>
      </c>
      <c r="J59" s="117">
        <f t="shared" si="14"/>
        <v>360</v>
      </c>
      <c r="K59" s="91">
        <f t="shared" si="14"/>
        <v>210</v>
      </c>
    </row>
    <row r="60" spans="2:11">
      <c r="B60" s="1" t="s">
        <v>131</v>
      </c>
      <c r="C60" s="93">
        <v>15000</v>
      </c>
      <c r="D60" s="93">
        <v>2600</v>
      </c>
      <c r="E60" s="93">
        <v>1000</v>
      </c>
      <c r="F60" s="121">
        <f t="shared" ref="F60:K60" si="15">F48*F$51</f>
        <v>4.3100381194399233</v>
      </c>
      <c r="G60" s="91">
        <f t="shared" si="15"/>
        <v>0</v>
      </c>
      <c r="H60" s="54">
        <f t="shared" si="15"/>
        <v>1610</v>
      </c>
      <c r="I60" s="119">
        <f t="shared" si="15"/>
        <v>13.201744057431029</v>
      </c>
      <c r="J60" s="117">
        <f t="shared" si="15"/>
        <v>480</v>
      </c>
      <c r="K60" s="91">
        <f t="shared" si="15"/>
        <v>0</v>
      </c>
    </row>
    <row r="61" spans="2:11">
      <c r="B61" s="1" t="s">
        <v>132</v>
      </c>
      <c r="C61" s="93">
        <v>10000</v>
      </c>
      <c r="D61" s="93">
        <v>900</v>
      </c>
      <c r="E61" s="93">
        <v>1100</v>
      </c>
      <c r="F61" s="121">
        <f t="shared" ref="F61:K61" si="16">F49*F$51</f>
        <v>2031.4150444726808</v>
      </c>
      <c r="G61" s="91">
        <f t="shared" si="16"/>
        <v>2600</v>
      </c>
      <c r="H61" s="54">
        <f t="shared" si="16"/>
        <v>460</v>
      </c>
      <c r="I61" s="119">
        <f t="shared" si="16"/>
        <v>518.15239807896774</v>
      </c>
      <c r="J61" s="117">
        <f t="shared" si="16"/>
        <v>300</v>
      </c>
      <c r="K61" s="91">
        <f t="shared" si="16"/>
        <v>240</v>
      </c>
    </row>
    <row r="65" spans="4:7">
      <c r="D65" s="77" t="s">
        <v>125</v>
      </c>
      <c r="E65" s="1" t="s">
        <v>154</v>
      </c>
      <c r="F65" s="1" t="s">
        <v>155</v>
      </c>
      <c r="G65" s="1" t="s">
        <v>156</v>
      </c>
    </row>
    <row r="66" spans="4:7">
      <c r="D66" s="1" t="s">
        <v>126</v>
      </c>
      <c r="E66" s="76">
        <f t="shared" ref="E66:E72" si="17">SUM(C55:E55)</f>
        <v>35000</v>
      </c>
      <c r="F66" s="76">
        <f>SUM(F55:K55)/SUM($F$51:$K$51)</f>
        <v>80.7419123261473</v>
      </c>
      <c r="G66" s="76">
        <f>E66/F66</f>
        <v>433.4799485380243</v>
      </c>
    </row>
    <row r="67" spans="4:7">
      <c r="D67" s="1" t="s">
        <v>127</v>
      </c>
      <c r="E67" s="76">
        <f t="shared" si="17"/>
        <v>17800</v>
      </c>
      <c r="F67" s="76">
        <f t="shared" ref="F67:F72" si="18">SUM(F56:K56)/SUM($F$51:$K$51)</f>
        <v>38.916941271500463</v>
      </c>
      <c r="G67" s="76">
        <f t="shared" ref="G67:G72" si="19">E67/F67</f>
        <v>457.384352891969</v>
      </c>
    </row>
    <row r="68" spans="4:7">
      <c r="D68" s="1" t="s">
        <v>128</v>
      </c>
      <c r="E68" s="76">
        <f t="shared" si="17"/>
        <v>6700</v>
      </c>
      <c r="F68" s="76">
        <f t="shared" si="18"/>
        <v>44.77359304413212</v>
      </c>
      <c r="G68" s="76">
        <f t="shared" si="19"/>
        <v>149.64177642379497</v>
      </c>
    </row>
    <row r="69" spans="4:7">
      <c r="D69" s="1" t="s">
        <v>129</v>
      </c>
      <c r="E69" s="76">
        <f t="shared" si="17"/>
        <v>14100</v>
      </c>
      <c r="F69" s="76">
        <f t="shared" si="18"/>
        <v>51.686956378740973</v>
      </c>
      <c r="G69" s="76">
        <f t="shared" si="19"/>
        <v>272.79609765916456</v>
      </c>
    </row>
    <row r="70" spans="4:7">
      <c r="D70" s="1" t="s">
        <v>130</v>
      </c>
      <c r="E70" s="76">
        <f t="shared" si="17"/>
        <v>34800</v>
      </c>
      <c r="F70" s="76">
        <f t="shared" si="18"/>
        <v>67.213621346886896</v>
      </c>
      <c r="G70" s="76">
        <f t="shared" si="19"/>
        <v>517.75219520457836</v>
      </c>
    </row>
    <row r="71" spans="4:7">
      <c r="D71" s="1" t="s">
        <v>131</v>
      </c>
      <c r="E71" s="76">
        <f t="shared" si="17"/>
        <v>18600</v>
      </c>
      <c r="F71" s="76">
        <f t="shared" si="18"/>
        <v>21.075117821768707</v>
      </c>
      <c r="G71" s="76">
        <f t="shared" si="19"/>
        <v>882.55734356027506</v>
      </c>
    </row>
    <row r="72" spans="4:7">
      <c r="D72" s="1" t="s">
        <v>132</v>
      </c>
      <c r="E72" s="76">
        <f t="shared" si="17"/>
        <v>12000</v>
      </c>
      <c r="F72" s="76">
        <f t="shared" si="18"/>
        <v>61.495674425516491</v>
      </c>
      <c r="G72" s="76">
        <f t="shared" si="19"/>
        <v>195.13567599838896</v>
      </c>
    </row>
    <row r="74" spans="4:7">
      <c r="E74" s="77"/>
    </row>
    <row r="75" spans="4:7">
      <c r="D75" s="1"/>
    </row>
    <row r="76" spans="4:7">
      <c r="D76" s="1"/>
    </row>
    <row r="77" spans="4:7">
      <c r="D77" s="1"/>
    </row>
    <row r="78" spans="4:7">
      <c r="D78" s="1"/>
    </row>
    <row r="79" spans="4:7">
      <c r="D79" s="1"/>
    </row>
    <row r="80" spans="4:7">
      <c r="D80" s="1"/>
    </row>
    <row r="81" spans="4:4">
      <c r="D81" s="1"/>
    </row>
  </sheetData>
  <mergeCells count="7">
    <mergeCell ref="C53:E53"/>
    <mergeCell ref="F53:K53"/>
    <mergeCell ref="C3:E3"/>
    <mergeCell ref="F3:K3"/>
    <mergeCell ref="C13:D13"/>
    <mergeCell ref="F41:K41"/>
    <mergeCell ref="J13:K13"/>
  </mergeCells>
  <conditionalFormatting sqref="E66:E72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66:F7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6:G72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B2:V88"/>
  <sheetViews>
    <sheetView tabSelected="1" workbookViewId="0">
      <selection activeCell="M53" sqref="M53"/>
    </sheetView>
  </sheetViews>
  <sheetFormatPr defaultRowHeight="12.75"/>
  <cols>
    <col min="2" max="2" width="25.5703125" customWidth="1"/>
    <col min="3" max="3" width="11.85546875" bestFit="1" customWidth="1"/>
    <col min="4" max="4" width="14.28515625" bestFit="1" customWidth="1"/>
    <col min="5" max="5" width="26.7109375" bestFit="1" customWidth="1"/>
    <col min="6" max="6" width="21.42578125" bestFit="1" customWidth="1"/>
    <col min="7" max="7" width="14.28515625" bestFit="1" customWidth="1"/>
    <col min="8" max="8" width="6.85546875" bestFit="1" customWidth="1"/>
    <col min="10" max="10" width="14.28515625" bestFit="1" customWidth="1"/>
    <col min="11" max="11" width="12" bestFit="1" customWidth="1"/>
    <col min="13" max="13" width="14.28515625" bestFit="1" customWidth="1"/>
    <col min="14" max="14" width="4" bestFit="1" customWidth="1"/>
    <col min="18" max="18" width="12" bestFit="1" customWidth="1"/>
    <col min="19" max="21" width="9.28515625" bestFit="1" customWidth="1"/>
  </cols>
  <sheetData>
    <row r="2" spans="2:22" ht="27.75" customHeight="1" thickBot="1">
      <c r="B2" s="88" t="s">
        <v>124</v>
      </c>
    </row>
    <row r="3" spans="2:22">
      <c r="C3" s="164" t="s">
        <v>133</v>
      </c>
      <c r="D3" s="165"/>
      <c r="E3" s="166"/>
      <c r="F3" s="167" t="s">
        <v>143</v>
      </c>
      <c r="G3" s="168"/>
      <c r="H3" s="168"/>
      <c r="I3" s="168"/>
      <c r="J3" s="168"/>
      <c r="K3" s="169"/>
      <c r="M3" s="133"/>
    </row>
    <row r="4" spans="2:22">
      <c r="B4" s="77" t="s">
        <v>125</v>
      </c>
      <c r="C4" s="92" t="s">
        <v>134</v>
      </c>
      <c r="D4" s="92" t="s">
        <v>135</v>
      </c>
      <c r="E4" s="92" t="s">
        <v>136</v>
      </c>
      <c r="F4" s="90" t="s">
        <v>137</v>
      </c>
      <c r="G4" s="90" t="s">
        <v>138</v>
      </c>
      <c r="H4" s="90" t="s">
        <v>139</v>
      </c>
      <c r="I4" s="90" t="s">
        <v>140</v>
      </c>
      <c r="J4" s="90" t="s">
        <v>141</v>
      </c>
      <c r="K4" s="90" t="s">
        <v>142</v>
      </c>
    </row>
    <row r="5" spans="2:22">
      <c r="B5" s="1" t="s">
        <v>126</v>
      </c>
      <c r="C5" s="93">
        <v>30000</v>
      </c>
      <c r="D5" s="93">
        <v>2000</v>
      </c>
      <c r="E5" s="93">
        <v>3000</v>
      </c>
      <c r="F5" s="91">
        <v>0</v>
      </c>
      <c r="G5" s="91">
        <v>60</v>
      </c>
      <c r="H5" s="91"/>
      <c r="I5" s="91">
        <v>1000</v>
      </c>
      <c r="J5" s="91"/>
      <c r="K5" s="91">
        <v>90</v>
      </c>
    </row>
    <row r="6" spans="2:22" ht="13.5" thickBot="1">
      <c r="B6" s="1" t="s">
        <v>127</v>
      </c>
      <c r="C6" s="93">
        <v>15000</v>
      </c>
      <c r="D6" s="93">
        <v>800</v>
      </c>
      <c r="E6" s="93">
        <v>2000</v>
      </c>
      <c r="F6" s="91">
        <v>4</v>
      </c>
      <c r="G6" s="91">
        <v>80</v>
      </c>
      <c r="H6" s="91"/>
      <c r="I6" s="91">
        <v>550</v>
      </c>
      <c r="J6" s="91"/>
      <c r="K6" s="91">
        <v>30</v>
      </c>
    </row>
    <row r="7" spans="2:22">
      <c r="B7" s="1" t="s">
        <v>128</v>
      </c>
      <c r="C7" s="93">
        <v>5000</v>
      </c>
      <c r="D7" s="93">
        <v>700</v>
      </c>
      <c r="E7" s="93">
        <v>1000</v>
      </c>
      <c r="F7" s="91">
        <v>1</v>
      </c>
      <c r="G7" s="91">
        <v>70</v>
      </c>
      <c r="H7" s="91"/>
      <c r="I7" s="91">
        <v>400</v>
      </c>
      <c r="J7" s="91"/>
      <c r="K7" s="91">
        <v>100</v>
      </c>
      <c r="R7" s="96" t="s">
        <v>151</v>
      </c>
      <c r="S7" s="97"/>
      <c r="T7" s="97"/>
      <c r="U7" s="97"/>
      <c r="V7" s="26"/>
    </row>
    <row r="8" spans="2:22">
      <c r="B8" s="1" t="s">
        <v>129</v>
      </c>
      <c r="C8" s="93">
        <v>12000</v>
      </c>
      <c r="D8" s="93">
        <v>1100</v>
      </c>
      <c r="E8" s="93">
        <v>1000</v>
      </c>
      <c r="F8" s="91">
        <v>1.2</v>
      </c>
      <c r="G8" s="91">
        <v>50</v>
      </c>
      <c r="H8" s="91"/>
      <c r="I8" s="91">
        <v>800</v>
      </c>
      <c r="J8" s="91"/>
      <c r="K8" s="91">
        <v>90</v>
      </c>
      <c r="R8" s="5"/>
      <c r="S8" s="98"/>
      <c r="T8" s="98"/>
      <c r="U8" s="98"/>
      <c r="V8" s="6"/>
    </row>
    <row r="9" spans="2:22">
      <c r="B9" s="1" t="s">
        <v>130</v>
      </c>
      <c r="C9" s="93">
        <v>30000</v>
      </c>
      <c r="D9" s="93">
        <v>2300</v>
      </c>
      <c r="E9" s="93">
        <v>2500</v>
      </c>
      <c r="F9" s="91">
        <v>2</v>
      </c>
      <c r="G9" s="91">
        <v>60</v>
      </c>
      <c r="H9" s="91"/>
      <c r="I9" s="91">
        <v>1500</v>
      </c>
      <c r="J9" s="91"/>
      <c r="K9" s="91">
        <v>70</v>
      </c>
      <c r="R9" s="94" t="s">
        <v>147</v>
      </c>
      <c r="S9" s="100" t="s">
        <v>146</v>
      </c>
      <c r="T9" s="100" t="s">
        <v>148</v>
      </c>
      <c r="U9" s="100" t="s">
        <v>149</v>
      </c>
      <c r="V9" s="6"/>
    </row>
    <row r="10" spans="2:22">
      <c r="B10" s="1" t="s">
        <v>131</v>
      </c>
      <c r="C10" s="93">
        <v>15000</v>
      </c>
      <c r="D10" s="93">
        <v>2600</v>
      </c>
      <c r="E10" s="93">
        <v>1000</v>
      </c>
      <c r="F10" s="91">
        <v>8</v>
      </c>
      <c r="G10" s="91">
        <v>0</v>
      </c>
      <c r="H10" s="91"/>
      <c r="I10" s="91">
        <v>400</v>
      </c>
      <c r="J10" s="91"/>
      <c r="K10" s="91">
        <v>0</v>
      </c>
      <c r="R10" s="5">
        <f ca="1">K15</f>
        <v>0</v>
      </c>
      <c r="S10" s="98">
        <f ca="1">J15</f>
        <v>400</v>
      </c>
      <c r="T10" s="98">
        <f ca="1">S10^2</f>
        <v>160000</v>
      </c>
      <c r="U10" s="98">
        <f ca="1">S10^3</f>
        <v>64000000</v>
      </c>
      <c r="V10" s="6">
        <f ca="1">$U$16+($R$16*U10)+($S$16*T10)+($T$16*S10)</f>
        <v>1.3201744057431029</v>
      </c>
    </row>
    <row r="11" spans="2:22">
      <c r="B11" s="1" t="s">
        <v>132</v>
      </c>
      <c r="C11" s="93">
        <v>10000</v>
      </c>
      <c r="D11" s="93">
        <v>900</v>
      </c>
      <c r="E11" s="93">
        <v>1100</v>
      </c>
      <c r="F11" s="91">
        <v>1.3</v>
      </c>
      <c r="G11" s="91">
        <v>100</v>
      </c>
      <c r="H11" s="91"/>
      <c r="I11" s="91">
        <v>700</v>
      </c>
      <c r="J11" s="91"/>
      <c r="K11" s="91">
        <v>80</v>
      </c>
      <c r="R11" s="5">
        <f ca="1">K16</f>
        <v>25</v>
      </c>
      <c r="S11" s="98">
        <f ca="1">J16</f>
        <v>500</v>
      </c>
      <c r="T11" s="98">
        <f t="shared" ref="T11:T14" ca="1" si="0">S11^2</f>
        <v>250000</v>
      </c>
      <c r="U11" s="98">
        <f t="shared" ref="U11:U14" ca="1" si="1">S11^3</f>
        <v>125000000</v>
      </c>
      <c r="V11" s="6">
        <f t="shared" ref="V11:V14" ca="1" si="2">$U$16+($R$16*U11)+($S$16*T11)+($T$16*S11)</f>
        <v>22.386054676628646</v>
      </c>
    </row>
    <row r="12" spans="2:22" ht="13.5" thickBot="1">
      <c r="R12" s="5">
        <f ca="1">K17</f>
        <v>50</v>
      </c>
      <c r="S12" s="98">
        <f ca="1">J17</f>
        <v>700</v>
      </c>
      <c r="T12" s="98">
        <f t="shared" ca="1" si="0"/>
        <v>490000</v>
      </c>
      <c r="U12" s="98">
        <f t="shared" ca="1" si="1"/>
        <v>343000000</v>
      </c>
      <c r="V12" s="6">
        <f t="shared" ca="1" si="2"/>
        <v>51.815239807896774</v>
      </c>
    </row>
    <row r="13" spans="2:22">
      <c r="C13" s="170" t="s">
        <v>137</v>
      </c>
      <c r="D13" s="171"/>
      <c r="J13" s="170" t="s">
        <v>140</v>
      </c>
      <c r="K13" s="171"/>
      <c r="R13" s="5">
        <f ca="1">K18</f>
        <v>75</v>
      </c>
      <c r="S13" s="98">
        <f ca="1">J18</f>
        <v>1000</v>
      </c>
      <c r="T13" s="98">
        <f t="shared" ca="1" si="0"/>
        <v>1000000</v>
      </c>
      <c r="U13" s="98">
        <f t="shared" ca="1" si="1"/>
        <v>1000000000</v>
      </c>
      <c r="V13" s="6">
        <f t="shared" ca="1" si="2"/>
        <v>74.419123261473032</v>
      </c>
    </row>
    <row r="14" spans="2:22" ht="13.5" thickBot="1">
      <c r="C14" s="155" t="s">
        <v>146</v>
      </c>
      <c r="D14" s="157" t="s">
        <v>147</v>
      </c>
      <c r="J14" s="155" t="s">
        <v>146</v>
      </c>
      <c r="K14" s="157" t="s">
        <v>147</v>
      </c>
      <c r="R14" s="5">
        <f ca="1">K19</f>
        <v>100</v>
      </c>
      <c r="S14" s="98">
        <f ca="1">J19</f>
        <v>1500</v>
      </c>
      <c r="T14" s="98">
        <f t="shared" ca="1" si="0"/>
        <v>2250000</v>
      </c>
      <c r="U14" s="98">
        <f t="shared" ca="1" si="1"/>
        <v>3375000000</v>
      </c>
      <c r="V14" s="6">
        <f t="shared" ca="1" si="2"/>
        <v>100.0594078482585</v>
      </c>
    </row>
    <row r="15" spans="2:22">
      <c r="B15" s="134" t="s">
        <v>164</v>
      </c>
      <c r="C15" s="156">
        <f ca="1">0+(RAND()*((-1)^INT(RAND()*10))*(0*E16))</f>
        <v>0</v>
      </c>
      <c r="D15" s="157">
        <f ca="1">100+(RAND()*((-1)^INT(RAND()*10))*(100*B16))</f>
        <v>100</v>
      </c>
      <c r="E15" s="140" t="s">
        <v>165</v>
      </c>
      <c r="G15" s="135" t="s">
        <v>164</v>
      </c>
      <c r="H15" s="136"/>
      <c r="I15" s="137"/>
      <c r="J15" s="156">
        <f ca="1">400+(RAND()*((-1)^INT(RAND()*10))*(400*L16))</f>
        <v>400</v>
      </c>
      <c r="K15" s="158">
        <f ca="1">0+(RAND()*((-1)^INT(RAND()*10))*(0*G16))</f>
        <v>0</v>
      </c>
      <c r="L15" s="141" t="s">
        <v>161</v>
      </c>
      <c r="M15" s="142"/>
      <c r="R15" s="96" t="s">
        <v>150</v>
      </c>
      <c r="S15" s="97"/>
      <c r="T15" s="97"/>
      <c r="U15" s="26"/>
      <c r="V15" s="6"/>
    </row>
    <row r="16" spans="2:22" ht="13.5" thickBot="1">
      <c r="B16" s="160">
        <v>0</v>
      </c>
      <c r="C16" s="155">
        <f ca="1">1+(RAND()*((-1)^INT(RAND()*10))*(1*E16))</f>
        <v>1</v>
      </c>
      <c r="D16" s="158">
        <f ca="1">80+(RAND()*((-1)^INT(RAND()*10))*(80*B16))</f>
        <v>80</v>
      </c>
      <c r="E16" s="161">
        <v>0</v>
      </c>
      <c r="G16" s="162">
        <v>0</v>
      </c>
      <c r="H16" s="138"/>
      <c r="I16" s="139"/>
      <c r="J16" s="156">
        <f ca="1">500+(RAND()*((-1)^INT(RAND()*10))*(500*L16))</f>
        <v>500</v>
      </c>
      <c r="K16" s="158">
        <f ca="1">25+(RAND()*((-1)^INT(RAND()*10))*(25*G16))</f>
        <v>25</v>
      </c>
      <c r="L16" s="163">
        <v>0</v>
      </c>
      <c r="M16" s="143"/>
      <c r="R16" s="5">
        <f t="array" aca="1" ref="R16:U20" ca="1">LINEST(R10:R14,S10:U14,TRUE,1)</f>
        <v>1.1351715869923566E-7</v>
      </c>
      <c r="S16" s="98">
        <f ca="1"/>
        <v>-3.9333704409382495E-4</v>
      </c>
      <c r="T16" s="98">
        <f ca="1"/>
        <v>0.49541667558676383</v>
      </c>
      <c r="U16" s="6">
        <f ca="1"/>
        <v>-141.17766693070152</v>
      </c>
      <c r="V16" s="6"/>
    </row>
    <row r="17" spans="3:22">
      <c r="C17" s="155">
        <f ca="1">2+(RAND()*((-1)^INT(RAND()*10))*(2*E16))</f>
        <v>2</v>
      </c>
      <c r="D17" s="157">
        <f ca="1">40+(RAND()*((-1)^INT(RAND()*10))*(40*B16))</f>
        <v>40</v>
      </c>
      <c r="J17" s="156">
        <f ca="1">700+(RAND()*((-1)^INT(RAND()*10))*(700*L16))</f>
        <v>700</v>
      </c>
      <c r="K17" s="158">
        <f ca="1">50+(RAND()*((-1)^INT(RAND()*10))*(50*G16))</f>
        <v>50</v>
      </c>
      <c r="R17" s="5">
        <f ca="1"/>
        <v>6.0051007763226646E-8</v>
      </c>
      <c r="S17" s="98">
        <f ca="1"/>
        <v>1.6950189820335343E-4</v>
      </c>
      <c r="T17" s="98">
        <f ca="1"/>
        <v>0.14433418014490712</v>
      </c>
      <c r="U17" s="6">
        <f ca="1"/>
        <v>36.661622373753588</v>
      </c>
      <c r="V17" s="6"/>
    </row>
    <row r="18" spans="3:22">
      <c r="C18" s="155">
        <f ca="1">4+(RAND()*((-1)^INT(RAND()*10))*(4*E16))</f>
        <v>4</v>
      </c>
      <c r="D18" s="157">
        <f ca="1">20+(RAND()*((-1)^INT(RAND()*10))*(20*B16))</f>
        <v>20</v>
      </c>
      <c r="J18" s="156">
        <f ca="1">1000+(RAND()*((-1)^INT(RAND()*10))*(1000*L16))</f>
        <v>1000</v>
      </c>
      <c r="K18" s="158">
        <f ca="1">75+(RAND()*((-1)^INT(RAND()*10))*(75*G16))</f>
        <v>75</v>
      </c>
      <c r="R18" s="5">
        <f ca="1"/>
        <v>0.99804614187950025</v>
      </c>
      <c r="S18" s="98">
        <f ca="1"/>
        <v>3.4945118762316074</v>
      </c>
      <c r="T18" s="98" t="e">
        <f ca="1"/>
        <v>#N/A</v>
      </c>
      <c r="U18" s="6" t="e">
        <f ca="1"/>
        <v>#N/A</v>
      </c>
      <c r="V18" s="6"/>
    </row>
    <row r="19" spans="3:22" ht="13.5" thickBot="1">
      <c r="C19" s="159">
        <f ca="1">8+(RAND()*((-1)^INT(RAND()*10))*(8*E16))</f>
        <v>8</v>
      </c>
      <c r="D19" s="139">
        <f ca="1">0+(RAND()*((-1)^INT(RAND()*10))*(0*B16))</f>
        <v>0</v>
      </c>
      <c r="J19" s="147">
        <f ca="1">1500+(RAND()*((-1)^INT(RAND()*10))*(1500*L16))</f>
        <v>1500</v>
      </c>
      <c r="K19" s="139">
        <f ca="1">100+(RAND()*((-1)^INT(RAND()*10))*(100*G16))</f>
        <v>100</v>
      </c>
      <c r="R19" s="5">
        <f ca="1"/>
        <v>170.26929632335134</v>
      </c>
      <c r="S19" s="98">
        <f ca="1"/>
        <v>1</v>
      </c>
      <c r="T19" s="98" t="e">
        <f ca="1"/>
        <v>#N/A</v>
      </c>
      <c r="U19" s="6" t="e">
        <f ca="1"/>
        <v>#N/A</v>
      </c>
      <c r="V19" s="6"/>
    </row>
    <row r="20" spans="3:22" ht="13.5" thickBot="1">
      <c r="R20" s="7">
        <f ca="1"/>
        <v>6237.7883867468763</v>
      </c>
      <c r="S20" s="99">
        <f ca="1"/>
        <v>12.211613253123749</v>
      </c>
      <c r="T20" s="99" t="e">
        <f ca="1"/>
        <v>#N/A</v>
      </c>
      <c r="U20" s="8" t="e">
        <f ca="1"/>
        <v>#N/A</v>
      </c>
      <c r="V20" s="8"/>
    </row>
    <row r="21" spans="3:22" ht="13.5" thickBot="1"/>
    <row r="22" spans="3:22">
      <c r="M22" s="101" t="s">
        <v>144</v>
      </c>
      <c r="N22" s="102"/>
      <c r="R22" s="1"/>
    </row>
    <row r="23" spans="3:22" ht="13.5" thickBot="1">
      <c r="M23" s="103" t="s">
        <v>126</v>
      </c>
      <c r="N23" s="104">
        <v>100</v>
      </c>
    </row>
    <row r="24" spans="3:22">
      <c r="M24" s="103" t="s">
        <v>130</v>
      </c>
      <c r="N24" s="104">
        <v>90</v>
      </c>
      <c r="R24" s="96" t="s">
        <v>152</v>
      </c>
      <c r="S24" s="97"/>
      <c r="T24" s="97"/>
      <c r="U24" s="97"/>
      <c r="V24" s="26"/>
    </row>
    <row r="25" spans="3:22">
      <c r="M25" s="105"/>
      <c r="N25" s="104">
        <v>80</v>
      </c>
      <c r="R25" s="5"/>
      <c r="S25" s="98"/>
      <c r="T25" s="98"/>
      <c r="U25" s="98"/>
      <c r="V25" s="6"/>
    </row>
    <row r="26" spans="3:22">
      <c r="M26" s="103" t="s">
        <v>131</v>
      </c>
      <c r="N26" s="104">
        <v>70</v>
      </c>
      <c r="R26" s="94" t="s">
        <v>147</v>
      </c>
      <c r="S26" s="100" t="s">
        <v>146</v>
      </c>
      <c r="T26" s="100" t="s">
        <v>148</v>
      </c>
      <c r="U26" s="100" t="s">
        <v>149</v>
      </c>
      <c r="V26" s="6"/>
    </row>
    <row r="27" spans="3:22">
      <c r="M27" s="105"/>
      <c r="N27" s="104">
        <v>60</v>
      </c>
      <c r="R27" s="5">
        <f ca="1">D15</f>
        <v>100</v>
      </c>
      <c r="S27" s="98">
        <f ca="1">C15</f>
        <v>0</v>
      </c>
      <c r="T27" s="98">
        <f ca="1">S27^2</f>
        <v>0</v>
      </c>
      <c r="U27" s="98">
        <f ca="1">S27^3</f>
        <v>0</v>
      </c>
      <c r="V27" s="6">
        <f ca="1">$U$16+($R$16*U27)+($S$16*T27)+($T$16*S27)</f>
        <v>-141.17766693070152</v>
      </c>
    </row>
    <row r="28" spans="3:22">
      <c r="M28" s="105"/>
      <c r="N28" s="104">
        <v>50</v>
      </c>
      <c r="R28" s="5">
        <f t="shared" ref="R28:R31" ca="1" si="3">D16</f>
        <v>80</v>
      </c>
      <c r="S28" s="98">
        <f t="shared" ref="S28:S31" ca="1" si="4">C16</f>
        <v>1</v>
      </c>
      <c r="T28" s="98">
        <f t="shared" ref="T28:T31" ca="1" si="5">S28^2</f>
        <v>1</v>
      </c>
      <c r="U28" s="98">
        <f t="shared" ref="U28:U31" ca="1" si="6">S28^3</f>
        <v>1</v>
      </c>
      <c r="V28" s="6">
        <f t="shared" ref="V28:V31" ca="1" si="7">$U$16+($R$16*U28)+($S$16*T28)+($T$16*S28)</f>
        <v>-140.68264347864169</v>
      </c>
    </row>
    <row r="29" spans="3:22">
      <c r="M29" s="105"/>
      <c r="N29" s="104">
        <v>40</v>
      </c>
      <c r="R29" s="5">
        <f t="shared" ca="1" si="3"/>
        <v>40</v>
      </c>
      <c r="S29" s="98">
        <f t="shared" ca="1" si="4"/>
        <v>2</v>
      </c>
      <c r="T29" s="98">
        <f t="shared" ca="1" si="5"/>
        <v>4</v>
      </c>
      <c r="U29" s="98">
        <f t="shared" ca="1" si="6"/>
        <v>8</v>
      </c>
      <c r="V29" s="6">
        <f t="shared" ca="1" si="7"/>
        <v>-140.18840601956708</v>
      </c>
    </row>
    <row r="30" spans="3:22">
      <c r="M30" s="103" t="s">
        <v>129</v>
      </c>
      <c r="N30" s="104">
        <v>30</v>
      </c>
      <c r="R30" s="5">
        <f t="shared" ca="1" si="3"/>
        <v>20</v>
      </c>
      <c r="S30" s="98">
        <f t="shared" ca="1" si="4"/>
        <v>4</v>
      </c>
      <c r="T30" s="98">
        <f t="shared" ca="1" si="5"/>
        <v>16</v>
      </c>
      <c r="U30" s="98">
        <f t="shared" ca="1" si="6"/>
        <v>64</v>
      </c>
      <c r="V30" s="6">
        <f t="shared" ca="1" si="7"/>
        <v>-139.2022863559618</v>
      </c>
    </row>
    <row r="31" spans="3:22" ht="13.5" thickBot="1">
      <c r="M31" s="103" t="s">
        <v>132</v>
      </c>
      <c r="N31" s="104">
        <v>20</v>
      </c>
      <c r="R31" s="5">
        <f t="shared" ca="1" si="3"/>
        <v>0</v>
      </c>
      <c r="S31" s="98">
        <f t="shared" ca="1" si="4"/>
        <v>8</v>
      </c>
      <c r="T31" s="98">
        <f t="shared" ca="1" si="5"/>
        <v>64</v>
      </c>
      <c r="U31" s="98">
        <f t="shared" ca="1" si="6"/>
        <v>512</v>
      </c>
      <c r="V31" s="6">
        <f t="shared" ca="1" si="7"/>
        <v>-137.23944897604417</v>
      </c>
    </row>
    <row r="32" spans="3:22">
      <c r="M32" s="103" t="s">
        <v>127</v>
      </c>
      <c r="N32" s="104">
        <v>10</v>
      </c>
      <c r="R32" s="96" t="s">
        <v>150</v>
      </c>
      <c r="S32" s="97"/>
      <c r="T32" s="97"/>
      <c r="U32" s="26"/>
      <c r="V32" s="6"/>
    </row>
    <row r="33" spans="6:22" ht="13.5" thickBot="1">
      <c r="M33" s="106" t="s">
        <v>128</v>
      </c>
      <c r="N33" s="107">
        <v>0</v>
      </c>
      <c r="R33" s="5">
        <f t="array" aca="1" ref="R33:U37" ca="1">LINEST(R27:R31,S27:U31,TRUE,1)</f>
        <v>-0.19112664125370593</v>
      </c>
      <c r="S33" s="98">
        <f ca="1"/>
        <v>4.378970775095298</v>
      </c>
      <c r="T33" s="98">
        <f ca="1"/>
        <v>-35.636382888606526</v>
      </c>
      <c r="U33" s="6">
        <f ca="1"/>
        <v>102.8284625158831</v>
      </c>
      <c r="V33" s="6"/>
    </row>
    <row r="34" spans="6:22">
      <c r="R34" s="5">
        <f ca="1"/>
        <v>0.56330345970663454</v>
      </c>
      <c r="S34" s="98">
        <f ca="1"/>
        <v>6.5248252315928621</v>
      </c>
      <c r="T34" s="98">
        <f ca="1"/>
        <v>18.06367275359052</v>
      </c>
      <c r="U34" s="6">
        <f ca="1"/>
        <v>11.609040119782598</v>
      </c>
      <c r="V34" s="6"/>
    </row>
    <row r="35" spans="6:22" ht="13.5" thickBot="1">
      <c r="R35" s="5">
        <f ca="1"/>
        <v>0.97924854466475586</v>
      </c>
      <c r="S35" s="98">
        <f ca="1"/>
        <v>11.948640621697528</v>
      </c>
      <c r="T35" s="98" t="e">
        <f ca="1"/>
        <v>#N/A</v>
      </c>
      <c r="U35" s="6" t="e">
        <f ca="1"/>
        <v>#N/A</v>
      </c>
      <c r="V35" s="6"/>
    </row>
    <row r="36" spans="6:22">
      <c r="M36" s="109" t="s">
        <v>145</v>
      </c>
      <c r="N36" s="110"/>
      <c r="R36" s="5">
        <f ca="1"/>
        <v>15.72979708081168</v>
      </c>
      <c r="S36" s="98">
        <f ca="1"/>
        <v>1</v>
      </c>
      <c r="T36" s="98" t="e">
        <f ca="1"/>
        <v>#N/A</v>
      </c>
      <c r="U36" s="6" t="e">
        <f ca="1"/>
        <v>#N/A</v>
      </c>
      <c r="V36" s="6"/>
    </row>
    <row r="37" spans="6:22" ht="13.5" thickBot="1">
      <c r="M37" s="111" t="s">
        <v>127</v>
      </c>
      <c r="N37" s="112">
        <v>100</v>
      </c>
      <c r="R37" s="7">
        <f ca="1"/>
        <v>6737.22998729352</v>
      </c>
      <c r="S37" s="99">
        <f ca="1"/>
        <v>142.77001270648029</v>
      </c>
      <c r="T37" s="99" t="e">
        <f ca="1"/>
        <v>#N/A</v>
      </c>
      <c r="U37" s="8" t="e">
        <f ca="1"/>
        <v>#N/A</v>
      </c>
      <c r="V37" s="8"/>
    </row>
    <row r="38" spans="6:22">
      <c r="M38" s="111"/>
      <c r="N38" s="112">
        <v>90</v>
      </c>
    </row>
    <row r="39" spans="6:22">
      <c r="M39" s="111" t="s">
        <v>131</v>
      </c>
      <c r="N39" s="112">
        <v>80</v>
      </c>
    </row>
    <row r="40" spans="6:22" ht="13.5" thickBot="1">
      <c r="M40" s="111"/>
      <c r="N40" s="112">
        <v>70</v>
      </c>
    </row>
    <row r="41" spans="6:22">
      <c r="F41" s="167" t="s">
        <v>143</v>
      </c>
      <c r="G41" s="168"/>
      <c r="H41" s="168"/>
      <c r="I41" s="168"/>
      <c r="J41" s="168"/>
      <c r="K41" s="169"/>
      <c r="M41" s="111" t="s">
        <v>130</v>
      </c>
      <c r="N41" s="112">
        <v>60</v>
      </c>
    </row>
    <row r="42" spans="6:22">
      <c r="F42" s="120" t="s">
        <v>137</v>
      </c>
      <c r="G42" s="90" t="s">
        <v>138</v>
      </c>
      <c r="H42" s="108" t="s">
        <v>139</v>
      </c>
      <c r="I42" s="118" t="s">
        <v>140</v>
      </c>
      <c r="J42" s="116" t="s">
        <v>141</v>
      </c>
      <c r="K42" s="90" t="s">
        <v>142</v>
      </c>
      <c r="M42" s="111" t="s">
        <v>132</v>
      </c>
      <c r="N42" s="112">
        <v>50</v>
      </c>
    </row>
    <row r="43" spans="6:22">
      <c r="F43" s="121">
        <f ca="1">MIN(100,$U$33+($R$33*F5^3)+($S$33*F5^2)+($T$33*F5))</f>
        <v>100</v>
      </c>
      <c r="G43" s="91">
        <v>60</v>
      </c>
      <c r="H43" s="54">
        <v>100</v>
      </c>
      <c r="I43" s="119">
        <f ca="1">MIN(100,$U$16+($R$16*I5^3)+($S$16*I5^2)+($T$16*I5))</f>
        <v>74.419123261473032</v>
      </c>
      <c r="J43" s="117">
        <v>0</v>
      </c>
      <c r="K43" s="91">
        <v>90</v>
      </c>
      <c r="M43" s="113"/>
      <c r="N43" s="112">
        <v>40</v>
      </c>
    </row>
    <row r="44" spans="6:22">
      <c r="F44" s="121">
        <f t="shared" ref="F44:F49" ca="1" si="8">MIN(100,$U$33+($R$33*F6^3)+($S$33*F6^2)+($T$33*F6))</f>
        <v>18.114358322744607</v>
      </c>
      <c r="G44" s="91">
        <v>80</v>
      </c>
      <c r="H44" s="54">
        <v>10</v>
      </c>
      <c r="I44" s="119">
        <f t="shared" ref="I44:I49" ca="1" si="9">MIN(100,$U$16+($R$16*I6^3)+($S$16*I6^2)+($T$16*I6))</f>
        <v>31.203466082221894</v>
      </c>
      <c r="J44" s="117">
        <v>100</v>
      </c>
      <c r="K44" s="91">
        <v>30</v>
      </c>
      <c r="M44" s="111" t="s">
        <v>129</v>
      </c>
      <c r="N44" s="112">
        <v>30</v>
      </c>
    </row>
    <row r="45" spans="6:22">
      <c r="F45" s="121">
        <f t="shared" ca="1" si="8"/>
        <v>71.379923761118164</v>
      </c>
      <c r="G45" s="91">
        <v>70</v>
      </c>
      <c r="H45" s="54">
        <v>0</v>
      </c>
      <c r="I45" s="119">
        <f t="shared" ca="1" si="9"/>
        <v>1.3201744057431029</v>
      </c>
      <c r="J45" s="117">
        <v>10</v>
      </c>
      <c r="K45" s="91">
        <v>100</v>
      </c>
      <c r="M45" s="111"/>
      <c r="N45" s="112">
        <v>20</v>
      </c>
    </row>
    <row r="46" spans="6:22">
      <c r="F46" s="121">
        <f t="shared" ca="1" si="8"/>
        <v>66.040254129606097</v>
      </c>
      <c r="G46" s="91">
        <v>50</v>
      </c>
      <c r="H46" s="54">
        <v>30</v>
      </c>
      <c r="I46" s="119">
        <f t="shared" ca="1" si="9"/>
        <v>61.54075057267022</v>
      </c>
      <c r="J46" s="117">
        <v>30</v>
      </c>
      <c r="K46" s="91">
        <v>90</v>
      </c>
      <c r="M46" s="111" t="s">
        <v>128</v>
      </c>
      <c r="N46" s="112">
        <v>10</v>
      </c>
    </row>
    <row r="47" spans="6:22" ht="13.5" thickBot="1">
      <c r="F47" s="121">
        <f t="shared" ca="1" si="8"/>
        <v>47.542566709021585</v>
      </c>
      <c r="G47" s="91">
        <v>60</v>
      </c>
      <c r="H47" s="54">
        <v>90</v>
      </c>
      <c r="I47" s="119">
        <f t="shared" ca="1" si="9"/>
        <v>100</v>
      </c>
      <c r="J47" s="117">
        <v>60</v>
      </c>
      <c r="K47" s="91">
        <v>70</v>
      </c>
      <c r="M47" s="114" t="s">
        <v>126</v>
      </c>
      <c r="N47" s="115">
        <v>0</v>
      </c>
    </row>
    <row r="48" spans="6:22">
      <c r="F48" s="121">
        <f t="shared" ca="1" si="8"/>
        <v>0.1346886912324976</v>
      </c>
      <c r="G48" s="91">
        <v>0</v>
      </c>
      <c r="H48" s="54">
        <v>70</v>
      </c>
      <c r="I48" s="119">
        <f t="shared" ca="1" si="9"/>
        <v>1.3201744057431029</v>
      </c>
      <c r="J48" s="117">
        <v>80</v>
      </c>
      <c r="K48" s="91">
        <v>0</v>
      </c>
    </row>
    <row r="49" spans="2:15">
      <c r="F49" s="121">
        <f t="shared" ca="1" si="8"/>
        <v>63.481720139771276</v>
      </c>
      <c r="G49" s="91">
        <v>100</v>
      </c>
      <c r="H49" s="54">
        <v>20</v>
      </c>
      <c r="I49" s="119">
        <f t="shared" ca="1" si="9"/>
        <v>51.815239807896774</v>
      </c>
      <c r="J49" s="117">
        <v>50</v>
      </c>
      <c r="K49" s="91">
        <v>80</v>
      </c>
    </row>
    <row r="50" spans="2:15" ht="13.5" thickBot="1">
      <c r="F50" s="121"/>
      <c r="G50" s="91"/>
      <c r="H50" s="54"/>
      <c r="I50" s="119"/>
      <c r="J50" s="117"/>
      <c r="K50" s="91"/>
    </row>
    <row r="51" spans="2:15">
      <c r="E51" s="15" t="s">
        <v>153</v>
      </c>
      <c r="F51" s="150">
        <f ca="1">MAX(1,32+RAND()*((-1)^INT(RAND()*10))*M52)</f>
        <v>32</v>
      </c>
      <c r="G51" s="151">
        <f ca="1">MAX(1,26+RAND()*((-1)^INT(RAND()*10))*M52)</f>
        <v>26</v>
      </c>
      <c r="H51" s="152">
        <f ca="1">MAX(1,23+RAND()*((-1)^INT(RAND()*10))*M52)</f>
        <v>23</v>
      </c>
      <c r="I51" s="153">
        <f ca="1">MAX(1,10+RAND()*((-1)^INT(RAND()*10))*M52)</f>
        <v>10</v>
      </c>
      <c r="J51" s="154">
        <f ca="1">MAX(1,6+RAND()*((-1)^INT(RAND()*10))*M52)</f>
        <v>6</v>
      </c>
      <c r="K51" s="151">
        <f ca="1">MAX(1,3+RAND()*((-1)^INT(RAND()*10))*M52)</f>
        <v>3</v>
      </c>
      <c r="M51" s="144" t="s">
        <v>162</v>
      </c>
      <c r="N51" s="145"/>
      <c r="O51" s="146"/>
    </row>
    <row r="52" spans="2:15" ht="13.5" thickBot="1">
      <c r="M52" s="147">
        <v>0</v>
      </c>
      <c r="N52" s="148"/>
      <c r="O52" s="149"/>
    </row>
    <row r="53" spans="2:15">
      <c r="C53" s="164" t="s">
        <v>133</v>
      </c>
      <c r="D53" s="165"/>
      <c r="E53" s="166"/>
      <c r="F53" s="167" t="s">
        <v>143</v>
      </c>
      <c r="G53" s="168"/>
      <c r="H53" s="168"/>
      <c r="I53" s="168"/>
      <c r="J53" s="168"/>
      <c r="K53" s="169"/>
    </row>
    <row r="54" spans="2:15">
      <c r="B54" s="77" t="s">
        <v>125</v>
      </c>
      <c r="C54" s="92" t="s">
        <v>134</v>
      </c>
      <c r="D54" s="92" t="s">
        <v>135</v>
      </c>
      <c r="E54" s="92" t="s">
        <v>136</v>
      </c>
      <c r="F54" s="120" t="s">
        <v>137</v>
      </c>
      <c r="G54" s="90" t="s">
        <v>138</v>
      </c>
      <c r="H54" s="108" t="s">
        <v>139</v>
      </c>
      <c r="I54" s="118" t="s">
        <v>140</v>
      </c>
      <c r="J54" s="116" t="s">
        <v>141</v>
      </c>
      <c r="K54" s="90" t="s">
        <v>142</v>
      </c>
    </row>
    <row r="55" spans="2:15">
      <c r="B55" s="1" t="s">
        <v>126</v>
      </c>
      <c r="C55" s="93">
        <v>30000</v>
      </c>
      <c r="D55" s="93">
        <v>2000</v>
      </c>
      <c r="E55" s="93">
        <v>3000</v>
      </c>
      <c r="F55" s="124">
        <f ca="1">F43*F$51</f>
        <v>3200</v>
      </c>
      <c r="G55" s="125">
        <f t="shared" ref="G55:K55" ca="1" si="10">G43*G$51</f>
        <v>1560</v>
      </c>
      <c r="H55" s="126">
        <f t="shared" ca="1" si="10"/>
        <v>2300</v>
      </c>
      <c r="I55" s="127">
        <f t="shared" ca="1" si="10"/>
        <v>744.19123261473032</v>
      </c>
      <c r="J55" s="128">
        <f t="shared" ca="1" si="10"/>
        <v>0</v>
      </c>
      <c r="K55" s="125">
        <f t="shared" ca="1" si="10"/>
        <v>270</v>
      </c>
    </row>
    <row r="56" spans="2:15">
      <c r="B56" s="1" t="s">
        <v>127</v>
      </c>
      <c r="C56" s="93">
        <v>15000</v>
      </c>
      <c r="D56" s="93">
        <v>800</v>
      </c>
      <c r="E56" s="93">
        <v>2000</v>
      </c>
      <c r="F56" s="121">
        <f t="shared" ref="F56:K61" ca="1" si="11">F44*F$51</f>
        <v>579.65946632782743</v>
      </c>
      <c r="G56" s="91">
        <f t="shared" ca="1" si="11"/>
        <v>2080</v>
      </c>
      <c r="H56" s="54">
        <f t="shared" ca="1" si="11"/>
        <v>230</v>
      </c>
      <c r="I56" s="119">
        <f t="shared" ca="1" si="11"/>
        <v>312.03466082221894</v>
      </c>
      <c r="J56" s="117">
        <f t="shared" ca="1" si="11"/>
        <v>600</v>
      </c>
      <c r="K56" s="91">
        <f t="shared" ca="1" si="11"/>
        <v>90</v>
      </c>
    </row>
    <row r="57" spans="2:15">
      <c r="B57" s="1" t="s">
        <v>128</v>
      </c>
      <c r="C57" s="93">
        <v>5000</v>
      </c>
      <c r="D57" s="93">
        <v>700</v>
      </c>
      <c r="E57" s="93">
        <v>1000</v>
      </c>
      <c r="F57" s="121">
        <f t="shared" ca="1" si="11"/>
        <v>2284.1575603557812</v>
      </c>
      <c r="G57" s="91">
        <f t="shared" ca="1" si="11"/>
        <v>1820</v>
      </c>
      <c r="H57" s="54">
        <f t="shared" ca="1" si="11"/>
        <v>0</v>
      </c>
      <c r="I57" s="119">
        <f t="shared" ca="1" si="11"/>
        <v>13.201744057431029</v>
      </c>
      <c r="J57" s="117">
        <f t="shared" ca="1" si="11"/>
        <v>60</v>
      </c>
      <c r="K57" s="91">
        <f t="shared" ca="1" si="11"/>
        <v>300</v>
      </c>
    </row>
    <row r="58" spans="2:15">
      <c r="B58" s="1" t="s">
        <v>129</v>
      </c>
      <c r="C58" s="93">
        <v>12000</v>
      </c>
      <c r="D58" s="93">
        <v>1100</v>
      </c>
      <c r="E58" s="93">
        <v>1000</v>
      </c>
      <c r="F58" s="121">
        <f t="shared" ca="1" si="11"/>
        <v>2113.2881321473951</v>
      </c>
      <c r="G58" s="91">
        <f t="shared" ca="1" si="11"/>
        <v>1300</v>
      </c>
      <c r="H58" s="54">
        <f t="shared" ca="1" si="11"/>
        <v>690</v>
      </c>
      <c r="I58" s="119">
        <f t="shared" ca="1" si="11"/>
        <v>615.4075057267022</v>
      </c>
      <c r="J58" s="117">
        <f t="shared" ca="1" si="11"/>
        <v>180</v>
      </c>
      <c r="K58" s="91">
        <f t="shared" ca="1" si="11"/>
        <v>270</v>
      </c>
    </row>
    <row r="59" spans="2:15">
      <c r="B59" s="1" t="s">
        <v>130</v>
      </c>
      <c r="C59" s="93">
        <v>30000</v>
      </c>
      <c r="D59" s="93">
        <v>2300</v>
      </c>
      <c r="E59" s="93">
        <v>2500</v>
      </c>
      <c r="F59" s="121">
        <f t="shared" ca="1" si="11"/>
        <v>1521.3621346886907</v>
      </c>
      <c r="G59" s="91">
        <f t="shared" ca="1" si="11"/>
        <v>1560</v>
      </c>
      <c r="H59" s="54">
        <f t="shared" ca="1" si="11"/>
        <v>2070</v>
      </c>
      <c r="I59" s="119">
        <f t="shared" ca="1" si="11"/>
        <v>1000</v>
      </c>
      <c r="J59" s="117">
        <f t="shared" ca="1" si="11"/>
        <v>360</v>
      </c>
      <c r="K59" s="91">
        <f t="shared" ca="1" si="11"/>
        <v>210</v>
      </c>
    </row>
    <row r="60" spans="2:15">
      <c r="B60" s="1" t="s">
        <v>131</v>
      </c>
      <c r="C60" s="93">
        <v>15000</v>
      </c>
      <c r="D60" s="93">
        <v>2600</v>
      </c>
      <c r="E60" s="93">
        <v>1000</v>
      </c>
      <c r="F60" s="121">
        <f t="shared" ca="1" si="11"/>
        <v>4.3100381194399233</v>
      </c>
      <c r="G60" s="91">
        <f t="shared" ca="1" si="11"/>
        <v>0</v>
      </c>
      <c r="H60" s="54">
        <f t="shared" ca="1" si="11"/>
        <v>1610</v>
      </c>
      <c r="I60" s="119">
        <f t="shared" ca="1" si="11"/>
        <v>13.201744057431029</v>
      </c>
      <c r="J60" s="117">
        <f t="shared" ca="1" si="11"/>
        <v>480</v>
      </c>
      <c r="K60" s="91">
        <f t="shared" ca="1" si="11"/>
        <v>0</v>
      </c>
    </row>
    <row r="61" spans="2:15">
      <c r="B61" s="1" t="s">
        <v>132</v>
      </c>
      <c r="C61" s="93">
        <v>10000</v>
      </c>
      <c r="D61" s="93">
        <v>900</v>
      </c>
      <c r="E61" s="93">
        <v>1100</v>
      </c>
      <c r="F61" s="121">
        <f t="shared" ca="1" si="11"/>
        <v>2031.4150444726808</v>
      </c>
      <c r="G61" s="91">
        <f t="shared" ca="1" si="11"/>
        <v>2600</v>
      </c>
      <c r="H61" s="54">
        <f t="shared" ca="1" si="11"/>
        <v>460</v>
      </c>
      <c r="I61" s="119">
        <f t="shared" ca="1" si="11"/>
        <v>518.15239807896774</v>
      </c>
      <c r="J61" s="117">
        <f t="shared" ca="1" si="11"/>
        <v>300</v>
      </c>
      <c r="K61" s="91">
        <f t="shared" ca="1" si="11"/>
        <v>240</v>
      </c>
    </row>
    <row r="65" spans="4:7">
      <c r="D65" s="77" t="s">
        <v>125</v>
      </c>
      <c r="E65" s="1" t="s">
        <v>154</v>
      </c>
      <c r="F65" s="1" t="s">
        <v>155</v>
      </c>
      <c r="G65" s="1" t="s">
        <v>156</v>
      </c>
    </row>
    <row r="66" spans="4:7">
      <c r="D66" s="1" t="s">
        <v>126</v>
      </c>
      <c r="E66" s="76">
        <f t="shared" ref="E66:E72" si="12">SUM(C55:E55)</f>
        <v>35000</v>
      </c>
      <c r="F66" s="76">
        <f t="shared" ref="F66:F72" ca="1" si="13">MAX(1,SUM(F55:K55)/SUM($F$51:$K$51))</f>
        <v>80.7419123261473</v>
      </c>
      <c r="G66" s="76">
        <f ca="1">E66/F66</f>
        <v>433.4799485380243</v>
      </c>
    </row>
    <row r="67" spans="4:7">
      <c r="D67" s="1" t="s">
        <v>127</v>
      </c>
      <c r="E67" s="76">
        <f t="shared" si="12"/>
        <v>17800</v>
      </c>
      <c r="F67" s="76">
        <f t="shared" ca="1" si="13"/>
        <v>38.916941271500463</v>
      </c>
      <c r="G67" s="76">
        <f t="shared" ref="G67:G72" ca="1" si="14">E67/F67</f>
        <v>457.384352891969</v>
      </c>
    </row>
    <row r="68" spans="4:7">
      <c r="D68" s="1" t="s">
        <v>128</v>
      </c>
      <c r="E68" s="76">
        <f t="shared" si="12"/>
        <v>6700</v>
      </c>
      <c r="F68" s="76">
        <f t="shared" ca="1" si="13"/>
        <v>44.77359304413212</v>
      </c>
      <c r="G68" s="76">
        <f t="shared" ca="1" si="14"/>
        <v>149.64177642379497</v>
      </c>
    </row>
    <row r="69" spans="4:7">
      <c r="D69" s="1" t="s">
        <v>129</v>
      </c>
      <c r="E69" s="76">
        <f t="shared" si="12"/>
        <v>14100</v>
      </c>
      <c r="F69" s="76">
        <f t="shared" ca="1" si="13"/>
        <v>51.686956378740973</v>
      </c>
      <c r="G69" s="76">
        <f t="shared" ca="1" si="14"/>
        <v>272.79609765916456</v>
      </c>
    </row>
    <row r="70" spans="4:7">
      <c r="D70" s="1" t="s">
        <v>130</v>
      </c>
      <c r="E70" s="76">
        <f t="shared" si="12"/>
        <v>34800</v>
      </c>
      <c r="F70" s="76">
        <f t="shared" ca="1" si="13"/>
        <v>67.213621346886896</v>
      </c>
      <c r="G70" s="76">
        <f t="shared" ca="1" si="14"/>
        <v>517.75219520457836</v>
      </c>
    </row>
    <row r="71" spans="4:7">
      <c r="D71" s="1" t="s">
        <v>131</v>
      </c>
      <c r="E71" s="76">
        <f t="shared" si="12"/>
        <v>18600</v>
      </c>
      <c r="F71" s="76">
        <f t="shared" ca="1" si="13"/>
        <v>21.075117821768707</v>
      </c>
      <c r="G71" s="76">
        <f t="shared" ca="1" si="14"/>
        <v>882.55734356027506</v>
      </c>
    </row>
    <row r="72" spans="4:7">
      <c r="D72" s="1" t="s">
        <v>132</v>
      </c>
      <c r="E72" s="76">
        <f t="shared" si="12"/>
        <v>12000</v>
      </c>
      <c r="F72" s="76">
        <f t="shared" ca="1" si="13"/>
        <v>61.495674425516491</v>
      </c>
      <c r="G72" s="76">
        <f t="shared" ca="1" si="14"/>
        <v>195.13567599838896</v>
      </c>
    </row>
    <row r="74" spans="4:7">
      <c r="E74" s="77"/>
    </row>
    <row r="75" spans="4:7">
      <c r="D75" s="77" t="s">
        <v>163</v>
      </c>
    </row>
    <row r="76" spans="4:7">
      <c r="D76" s="1">
        <f ca="1">IF(AND(G68&lt;G66,G68&lt;G67,G68&lt;G69,G68&lt;G70,G68&lt;G71,G68&lt;G72),1,0)</f>
        <v>1</v>
      </c>
    </row>
    <row r="77" spans="4:7">
      <c r="D77" s="1"/>
    </row>
    <row r="78" spans="4:7" ht="13.5" thickBot="1">
      <c r="D78" s="1"/>
    </row>
    <row r="79" spans="4:7">
      <c r="D79" s="131" t="s">
        <v>157</v>
      </c>
      <c r="E79" s="110"/>
    </row>
    <row r="80" spans="4:7">
      <c r="D80" s="111"/>
      <c r="E80" s="112"/>
    </row>
    <row r="81" spans="4:6" ht="13.5" thickBot="1">
      <c r="D81" s="111" t="s">
        <v>158</v>
      </c>
      <c r="E81" s="132" t="s">
        <v>159</v>
      </c>
    </row>
    <row r="82" spans="4:6" ht="15" customHeight="1">
      <c r="D82" s="129">
        <v>100</v>
      </c>
      <c r="E82" s="110">
        <f ca="1">D76</f>
        <v>1</v>
      </c>
      <c r="F82" s="172" t="s">
        <v>160</v>
      </c>
    </row>
    <row r="83" spans="4:6">
      <c r="D83" s="113" t="s">
        <v>0</v>
      </c>
      <c r="E83" s="112">
        <v>0.86</v>
      </c>
      <c r="F83" s="172"/>
    </row>
    <row r="84" spans="4:6">
      <c r="D84" s="113" t="s">
        <v>1</v>
      </c>
      <c r="E84" s="112">
        <v>3.4698703145794943E-2</v>
      </c>
      <c r="F84" s="172"/>
    </row>
    <row r="85" spans="4:6">
      <c r="D85" s="113" t="s">
        <v>3</v>
      </c>
      <c r="E85" s="112">
        <v>1</v>
      </c>
    </row>
    <row r="86" spans="4:6">
      <c r="D86" s="113" t="s">
        <v>2</v>
      </c>
      <c r="E86" s="112">
        <v>0.3469870314579494</v>
      </c>
    </row>
    <row r="87" spans="4:6">
      <c r="D87" s="113" t="s">
        <v>4</v>
      </c>
      <c r="E87" s="112">
        <v>0.12039999999999997</v>
      </c>
    </row>
    <row r="88" spans="4:6" ht="13.5" thickBot="1">
      <c r="D88" s="130" t="s">
        <v>5</v>
      </c>
      <c r="E88" s="115">
        <v>-2.0750055037352482</v>
      </c>
    </row>
  </sheetData>
  <mergeCells count="8">
    <mergeCell ref="C53:E53"/>
    <mergeCell ref="F53:K53"/>
    <mergeCell ref="F82:F84"/>
    <mergeCell ref="C3:E3"/>
    <mergeCell ref="F3:K3"/>
    <mergeCell ref="C13:D13"/>
    <mergeCell ref="J13:K13"/>
    <mergeCell ref="F41:K41"/>
  </mergeCells>
  <conditionalFormatting sqref="E66:E72">
    <cfRule type="colorScale" priority="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66:F7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66:G72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Tutorial 1 - Basics</vt:lpstr>
      <vt:lpstr>Tutorial 2 - Area of Circle</vt:lpstr>
      <vt:lpstr>Tutorial 3 - Project Management</vt:lpstr>
      <vt:lpstr>MonteCarlito</vt:lpstr>
      <vt:lpstr>ClassExample_1</vt:lpstr>
      <vt:lpstr>Max_Variation</vt:lpstr>
      <vt:lpstr>ClassExample_2</vt:lpstr>
      <vt:lpstr>ClassExample_3</vt:lpstr>
    </vt:vector>
  </TitlesOfParts>
  <Company>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drunfola</cp:lastModifiedBy>
  <dcterms:created xsi:type="dcterms:W3CDTF">2004-12-24T15:58:10Z</dcterms:created>
  <dcterms:modified xsi:type="dcterms:W3CDTF">2012-01-19T19:26:19Z</dcterms:modified>
</cp:coreProperties>
</file>