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GDrive\Professional\Academy\Classes\!My_Courses\COLL_200_DataDrivenDecisions\COLL_200_DataDrivenDecisions-master\Assignments\Assignment_1\"/>
    </mc:Choice>
  </mc:AlternateContent>
  <bookViews>
    <workbookView xWindow="0" yWindow="0" windowWidth="24000" windowHeight="9735" activeTab="7"/>
  </bookViews>
  <sheets>
    <sheet name="Start Here" sheetId="9" r:id="rId1"/>
    <sheet name="Step 1" sheetId="10" r:id="rId2"/>
    <sheet name="Step 2" sheetId="11" r:id="rId3"/>
    <sheet name="Step 3" sheetId="12" r:id="rId4"/>
    <sheet name="Step 4" sheetId="13" r:id="rId5"/>
    <sheet name="Step 5" sheetId="14" r:id="rId6"/>
    <sheet name="Step 6" sheetId="15" r:id="rId7"/>
    <sheet name="Step 7" sheetId="16" r:id="rId8"/>
  </sheets>
  <functionGroups builtInGroupCount="18"/>
  <calcPr calcId="152511"/>
</workbook>
</file>

<file path=xl/calcChain.xml><?xml version="1.0" encoding="utf-8"?>
<calcChain xmlns="http://schemas.openxmlformats.org/spreadsheetml/2006/main">
  <c r="I34" i="16" l="1"/>
  <c r="F28" i="16"/>
  <c r="G28" i="16" s="1"/>
  <c r="J28" i="16" s="1"/>
  <c r="F27" i="16"/>
  <c r="G27" i="16" s="1"/>
  <c r="J27" i="16" s="1"/>
  <c r="G26" i="16"/>
  <c r="J26" i="16" s="1"/>
  <c r="F26" i="16"/>
  <c r="F25" i="16"/>
  <c r="G25" i="16" s="1"/>
  <c r="J25" i="16" s="1"/>
  <c r="G24" i="16"/>
  <c r="J24" i="16" s="1"/>
  <c r="F24" i="16"/>
  <c r="F23" i="16"/>
  <c r="G23" i="16" s="1"/>
  <c r="J23" i="16" s="1"/>
  <c r="G22" i="16"/>
  <c r="J22" i="16" s="1"/>
  <c r="F22" i="16"/>
  <c r="F21" i="16"/>
  <c r="G21" i="16" s="1"/>
  <c r="J21" i="16" s="1"/>
  <c r="G20" i="16"/>
  <c r="J20" i="16" s="1"/>
  <c r="F20" i="16"/>
  <c r="F19" i="16"/>
  <c r="G19" i="16" s="1"/>
  <c r="J19" i="16" s="1"/>
  <c r="G18" i="16"/>
  <c r="J18" i="16" s="1"/>
  <c r="F18" i="16"/>
  <c r="F17" i="16"/>
  <c r="G17" i="16" s="1"/>
  <c r="J17" i="16" s="1"/>
  <c r="G16" i="16"/>
  <c r="J16" i="16" s="1"/>
  <c r="F16" i="16"/>
  <c r="F15" i="16"/>
  <c r="G15" i="16" s="1"/>
  <c r="J15" i="16" s="1"/>
  <c r="G14" i="16"/>
  <c r="J14" i="16" s="1"/>
  <c r="F14" i="16"/>
  <c r="F13" i="16"/>
  <c r="G13" i="16" s="1"/>
  <c r="J13" i="16" s="1"/>
  <c r="G12" i="16"/>
  <c r="J12" i="16" s="1"/>
  <c r="F12" i="16"/>
  <c r="F11" i="16"/>
  <c r="G11" i="16" s="1"/>
  <c r="J11" i="16" s="1"/>
  <c r="G10" i="16"/>
  <c r="J10" i="16" s="1"/>
  <c r="F10" i="16"/>
  <c r="F9" i="16"/>
  <c r="G9" i="16" s="1"/>
  <c r="J9" i="16" s="1"/>
  <c r="G8" i="16"/>
  <c r="J8" i="16" s="1"/>
  <c r="F8" i="16"/>
  <c r="F7" i="16"/>
  <c r="G7" i="16" s="1"/>
  <c r="J7" i="16" s="1"/>
  <c r="G6" i="16"/>
  <c r="J6" i="16" s="1"/>
  <c r="F6" i="16"/>
  <c r="F5" i="16"/>
  <c r="G5" i="16" s="1"/>
  <c r="J5" i="16" s="1"/>
  <c r="G4" i="16"/>
  <c r="J4" i="16" s="1"/>
  <c r="F4" i="16"/>
  <c r="F3" i="16"/>
  <c r="G3" i="16" s="1"/>
  <c r="J3" i="16" s="1"/>
  <c r="G28" i="15"/>
  <c r="H28" i="15" s="1"/>
  <c r="I28" i="15" s="1"/>
  <c r="F28" i="15"/>
  <c r="F27" i="15"/>
  <c r="G27" i="15" s="1"/>
  <c r="H27" i="15" s="1"/>
  <c r="I27" i="15" s="1"/>
  <c r="G26" i="15"/>
  <c r="H26" i="15" s="1"/>
  <c r="I26" i="15" s="1"/>
  <c r="F26" i="15"/>
  <c r="F25" i="15"/>
  <c r="G25" i="15" s="1"/>
  <c r="H25" i="15" s="1"/>
  <c r="I25" i="15" s="1"/>
  <c r="G24" i="15"/>
  <c r="H24" i="15" s="1"/>
  <c r="I24" i="15" s="1"/>
  <c r="F24" i="15"/>
  <c r="F23" i="15"/>
  <c r="G23" i="15" s="1"/>
  <c r="H23" i="15" s="1"/>
  <c r="I23" i="15" s="1"/>
  <c r="G22" i="15"/>
  <c r="H22" i="15" s="1"/>
  <c r="I22" i="15" s="1"/>
  <c r="F22" i="15"/>
  <c r="F21" i="15"/>
  <c r="G21" i="15" s="1"/>
  <c r="H21" i="15" s="1"/>
  <c r="I21" i="15" s="1"/>
  <c r="G20" i="15"/>
  <c r="H20" i="15" s="1"/>
  <c r="I20" i="15" s="1"/>
  <c r="F20" i="15"/>
  <c r="F19" i="15"/>
  <c r="G19" i="15" s="1"/>
  <c r="H19" i="15" s="1"/>
  <c r="I19" i="15" s="1"/>
  <c r="G18" i="15"/>
  <c r="H18" i="15" s="1"/>
  <c r="I18" i="15" s="1"/>
  <c r="F18" i="15"/>
  <c r="F17" i="15"/>
  <c r="G17" i="15" s="1"/>
  <c r="H17" i="15" s="1"/>
  <c r="I17" i="15" s="1"/>
  <c r="G16" i="15"/>
  <c r="H16" i="15" s="1"/>
  <c r="I16" i="15" s="1"/>
  <c r="F16" i="15"/>
  <c r="F15" i="15"/>
  <c r="G15" i="15" s="1"/>
  <c r="H15" i="15" s="1"/>
  <c r="I15" i="15" s="1"/>
  <c r="G14" i="15"/>
  <c r="H14" i="15" s="1"/>
  <c r="I14" i="15" s="1"/>
  <c r="F14" i="15"/>
  <c r="F13" i="15"/>
  <c r="G13" i="15" s="1"/>
  <c r="H13" i="15" s="1"/>
  <c r="I13" i="15" s="1"/>
  <c r="G12" i="15"/>
  <c r="H12" i="15" s="1"/>
  <c r="I12" i="15" s="1"/>
  <c r="F12" i="15"/>
  <c r="F11" i="15"/>
  <c r="G11" i="15" s="1"/>
  <c r="H11" i="15" s="1"/>
  <c r="I11" i="15" s="1"/>
  <c r="G10" i="15"/>
  <c r="H10" i="15" s="1"/>
  <c r="I10" i="15" s="1"/>
  <c r="F10" i="15"/>
  <c r="F9" i="15"/>
  <c r="G9" i="15" s="1"/>
  <c r="H9" i="15" s="1"/>
  <c r="I9" i="15" s="1"/>
  <c r="G8" i="15"/>
  <c r="H8" i="15" s="1"/>
  <c r="I8" i="15" s="1"/>
  <c r="F8" i="15"/>
  <c r="F7" i="15"/>
  <c r="G7" i="15" s="1"/>
  <c r="H7" i="15" s="1"/>
  <c r="I7" i="15" s="1"/>
  <c r="G6" i="15"/>
  <c r="H6" i="15" s="1"/>
  <c r="I6" i="15" s="1"/>
  <c r="F6" i="15"/>
  <c r="F5" i="15"/>
  <c r="G5" i="15" s="1"/>
  <c r="H5" i="15" s="1"/>
  <c r="I5" i="15" s="1"/>
  <c r="G4" i="15"/>
  <c r="H4" i="15" s="1"/>
  <c r="I4" i="15" s="1"/>
  <c r="F4" i="15"/>
  <c r="F3" i="15"/>
  <c r="G3" i="15" s="1"/>
  <c r="H3" i="15" s="1"/>
  <c r="I3" i="15" s="1"/>
  <c r="G4" i="14"/>
  <c r="G8" i="14"/>
  <c r="G12" i="14"/>
  <c r="G16" i="14"/>
  <c r="G20" i="14"/>
  <c r="G24" i="14"/>
  <c r="G28" i="14"/>
  <c r="F28" i="14"/>
  <c r="F27" i="14"/>
  <c r="G27" i="14" s="1"/>
  <c r="F26" i="14"/>
  <c r="G26" i="14" s="1"/>
  <c r="F25" i="14"/>
  <c r="G25" i="14" s="1"/>
  <c r="F24" i="14"/>
  <c r="F23" i="14"/>
  <c r="G23" i="14" s="1"/>
  <c r="F22" i="14"/>
  <c r="G22" i="14" s="1"/>
  <c r="F21" i="14"/>
  <c r="G21" i="14" s="1"/>
  <c r="F20" i="14"/>
  <c r="F19" i="14"/>
  <c r="G19" i="14" s="1"/>
  <c r="F18" i="14"/>
  <c r="G18" i="14" s="1"/>
  <c r="F17" i="14"/>
  <c r="G17" i="14" s="1"/>
  <c r="F16" i="14"/>
  <c r="F15" i="14"/>
  <c r="G15" i="14" s="1"/>
  <c r="F14" i="14"/>
  <c r="G14" i="14" s="1"/>
  <c r="F13" i="14"/>
  <c r="G13" i="14" s="1"/>
  <c r="F12" i="14"/>
  <c r="F11" i="14"/>
  <c r="G11" i="14" s="1"/>
  <c r="F10" i="14"/>
  <c r="G10" i="14" s="1"/>
  <c r="F9" i="14"/>
  <c r="G9" i="14" s="1"/>
  <c r="F8" i="14"/>
  <c r="F7" i="14"/>
  <c r="G7" i="14" s="1"/>
  <c r="F6" i="14"/>
  <c r="G6" i="14" s="1"/>
  <c r="F5" i="14"/>
  <c r="G5" i="14" s="1"/>
  <c r="F4" i="14"/>
  <c r="F3" i="14"/>
  <c r="G3" i="14" s="1"/>
  <c r="J2" i="13"/>
  <c r="K2" i="13"/>
  <c r="K1" i="13"/>
  <c r="J1" i="13"/>
  <c r="G4" i="13"/>
  <c r="G8" i="13"/>
  <c r="G12" i="13"/>
  <c r="G16" i="13"/>
  <c r="G20" i="13"/>
  <c r="G24" i="13"/>
  <c r="G28" i="13"/>
  <c r="F28" i="13"/>
  <c r="F27" i="13"/>
  <c r="G27" i="13" s="1"/>
  <c r="F26" i="13"/>
  <c r="G26" i="13" s="1"/>
  <c r="F25" i="13"/>
  <c r="G25" i="13" s="1"/>
  <c r="F24" i="13"/>
  <c r="F23" i="13"/>
  <c r="G23" i="13" s="1"/>
  <c r="F22" i="13"/>
  <c r="G22" i="13" s="1"/>
  <c r="F21" i="13"/>
  <c r="G21" i="13" s="1"/>
  <c r="F20" i="13"/>
  <c r="F19" i="13"/>
  <c r="G19" i="13" s="1"/>
  <c r="F18" i="13"/>
  <c r="G18" i="13" s="1"/>
  <c r="F17" i="13"/>
  <c r="G17" i="13" s="1"/>
  <c r="F16" i="13"/>
  <c r="F15" i="13"/>
  <c r="G15" i="13" s="1"/>
  <c r="F14" i="13"/>
  <c r="G14" i="13" s="1"/>
  <c r="F13" i="13"/>
  <c r="G13" i="13" s="1"/>
  <c r="F12" i="13"/>
  <c r="F11" i="13"/>
  <c r="G11" i="13" s="1"/>
  <c r="F10" i="13"/>
  <c r="G10" i="13" s="1"/>
  <c r="F9" i="13"/>
  <c r="G9" i="13" s="1"/>
  <c r="F8" i="13"/>
  <c r="F7" i="13"/>
  <c r="G7" i="13" s="1"/>
  <c r="F6" i="13"/>
  <c r="G6" i="13" s="1"/>
  <c r="F5" i="13"/>
  <c r="G5" i="13" s="1"/>
  <c r="F4" i="13"/>
  <c r="F3" i="13"/>
  <c r="G3" i="13" s="1"/>
  <c r="H5" i="16" l="1"/>
  <c r="I5" i="16" s="1"/>
  <c r="H13" i="16"/>
  <c r="I13" i="16" s="1"/>
  <c r="H26" i="16"/>
  <c r="I26" i="16" s="1"/>
  <c r="H8" i="16"/>
  <c r="I8" i="16" s="1"/>
  <c r="H16" i="16"/>
  <c r="I16" i="16" s="1"/>
  <c r="H24" i="16"/>
  <c r="I24" i="16" s="1"/>
  <c r="H4" i="16"/>
  <c r="I4" i="16" s="1"/>
  <c r="H7" i="16"/>
  <c r="I7" i="16" s="1"/>
  <c r="H12" i="16"/>
  <c r="I12" i="16" s="1"/>
  <c r="H15" i="16"/>
  <c r="I15" i="16" s="1"/>
  <c r="H20" i="16"/>
  <c r="I20" i="16" s="1"/>
  <c r="H23" i="16"/>
  <c r="I23" i="16" s="1"/>
  <c r="H18" i="16"/>
  <c r="I18" i="16" s="1"/>
  <c r="H10" i="16"/>
  <c r="I10" i="16" s="1"/>
  <c r="H21" i="16"/>
  <c r="I21" i="16" s="1"/>
  <c r="H11" i="16"/>
  <c r="I11" i="16" s="1"/>
  <c r="H19" i="16"/>
  <c r="I19" i="16" s="1"/>
  <c r="H27" i="16"/>
  <c r="I27" i="16" s="1"/>
  <c r="H6" i="16"/>
  <c r="I6" i="16" s="1"/>
  <c r="H9" i="16"/>
  <c r="I9" i="16" s="1"/>
  <c r="H14" i="16"/>
  <c r="I14" i="16" s="1"/>
  <c r="H17" i="16"/>
  <c r="I17" i="16" s="1"/>
  <c r="H22" i="16"/>
  <c r="I22" i="16" s="1"/>
  <c r="H25" i="16"/>
  <c r="I25" i="16" s="1"/>
  <c r="H28" i="16"/>
  <c r="I28" i="16" s="1"/>
  <c r="H3" i="16"/>
  <c r="I3" i="16" s="1"/>
  <c r="I29" i="15"/>
  <c r="I29" i="16" l="1"/>
  <c r="F6" i="12"/>
  <c r="F7" i="12"/>
  <c r="F8" i="12"/>
  <c r="F9" i="12"/>
  <c r="F10" i="12"/>
  <c r="F11" i="12"/>
  <c r="F12" i="12"/>
  <c r="F13" i="12"/>
  <c r="F14" i="12"/>
  <c r="F15" i="12"/>
  <c r="F16" i="12"/>
  <c r="F17" i="12"/>
  <c r="F18" i="12"/>
  <c r="F19" i="12"/>
  <c r="F20" i="12"/>
  <c r="F21" i="12"/>
  <c r="F22" i="12"/>
  <c r="F23" i="12"/>
  <c r="F24" i="12"/>
  <c r="F25" i="12"/>
  <c r="F26" i="12"/>
  <c r="F27" i="12"/>
  <c r="F28" i="12"/>
  <c r="F5" i="12"/>
  <c r="F4" i="12"/>
  <c r="F3" i="12"/>
  <c r="F5" i="11"/>
  <c r="F4" i="11"/>
  <c r="F3" i="11"/>
  <c r="D15" i="9"/>
</calcChain>
</file>

<file path=xl/sharedStrings.xml><?xml version="1.0" encoding="utf-8"?>
<sst xmlns="http://schemas.openxmlformats.org/spreadsheetml/2006/main" count="200" uniqueCount="39">
  <si>
    <t>Company</t>
  </si>
  <si>
    <t>A</t>
  </si>
  <si>
    <t>B</t>
  </si>
  <si>
    <t>C</t>
  </si>
  <si>
    <t>Employees</t>
  </si>
  <si>
    <t>Total Annual Salary</t>
  </si>
  <si>
    <t>Average Salary</t>
  </si>
  <si>
    <t>D</t>
  </si>
  <si>
    <t>E</t>
  </si>
  <si>
    <t>F</t>
  </si>
  <si>
    <t>G</t>
  </si>
  <si>
    <t>H</t>
  </si>
  <si>
    <t>I</t>
  </si>
  <si>
    <t>J</t>
  </si>
  <si>
    <t>K</t>
  </si>
  <si>
    <t>L</t>
  </si>
  <si>
    <t>M</t>
  </si>
  <si>
    <t>N</t>
  </si>
  <si>
    <t>O</t>
  </si>
  <si>
    <t>P</t>
  </si>
  <si>
    <t>Q</t>
  </si>
  <si>
    <t>R</t>
  </si>
  <si>
    <t>S</t>
  </si>
  <si>
    <t>T</t>
  </si>
  <si>
    <t>U</t>
  </si>
  <si>
    <t>V</t>
  </si>
  <si>
    <t>W</t>
  </si>
  <si>
    <t>X</t>
  </si>
  <si>
    <t>Y</t>
  </si>
  <si>
    <t>Z</t>
  </si>
  <si>
    <t>Random Bonus</t>
  </si>
  <si>
    <t>Total Bonus Costs</t>
  </si>
  <si>
    <t>Total Annual Costs</t>
  </si>
  <si>
    <t>Random Bonus / Paycut</t>
  </si>
  <si>
    <t>New Company</t>
  </si>
  <si>
    <t xml:space="preserve">Average Salary </t>
  </si>
  <si>
    <t>Number of Iterations</t>
  </si>
  <si>
    <t>Value to Test</t>
  </si>
  <si>
    <t>Hourly Salary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</si>
</sst>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4" x14ac:knownFonts="1">
    <font>
      <sz val="10"/>
      <name val="Arial"/>
    </font>
    <font>
      <sz val="10"/>
      <name val="Arial"/>
      <family val="2"/>
    </font>
    <font>
      <b/>
      <sz val="10"/>
      <name val="Arial"/>
      <family val="2"/>
    </font>
    <font>
      <sz val="11"/>
      <color rgb="FF3F3F76"/>
      <name val="Calibri"/>
      <family val="2"/>
      <scheme val="minor"/>
    </font>
  </fonts>
  <fills count="9">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0000"/>
        <bgColor indexed="64"/>
      </patternFill>
    </fill>
    <fill>
      <patternFill patternType="solid">
        <fgColor theme="3" tint="0.39997558519241921"/>
        <bgColor indexed="64"/>
      </patternFill>
    </fill>
    <fill>
      <patternFill patternType="solid">
        <fgColor rgb="FFFFCC99"/>
      </patternFill>
    </fill>
  </fills>
  <borders count="1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s>
  <cellStyleXfs count="2">
    <xf numFmtId="0" fontId="0" fillId="0" borderId="0"/>
    <xf numFmtId="0" fontId="3" fillId="8" borderId="9" applyNumberFormat="0" applyAlignment="0" applyProtection="0"/>
  </cellStyleXfs>
  <cellXfs count="35">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1" fillId="0" borderId="0" xfId="0" applyFont="1"/>
    <xf numFmtId="3" fontId="0" fillId="0" borderId="0" xfId="0" applyNumberFormat="1"/>
    <xf numFmtId="0" fontId="2" fillId="0" borderId="0" xfId="0" applyFont="1"/>
    <xf numFmtId="3" fontId="2" fillId="0" borderId="0" xfId="0" applyNumberFormat="1" applyFont="1" applyAlignment="1">
      <alignment horizontal="center"/>
    </xf>
    <xf numFmtId="0" fontId="2" fillId="0" borderId="0" xfId="0" applyNumberFormat="1" applyFont="1" applyAlignment="1">
      <alignment horizontal="center"/>
    </xf>
    <xf numFmtId="0" fontId="2" fillId="0" borderId="0" xfId="0" applyFont="1" applyAlignment="1">
      <alignment horizontal="center"/>
    </xf>
    <xf numFmtId="3" fontId="1" fillId="0" borderId="0" xfId="0" applyNumberFormat="1" applyFont="1" applyAlignment="1">
      <alignment horizontal="center"/>
    </xf>
    <xf numFmtId="0" fontId="0" fillId="0" borderId="0" xfId="0" applyNumberFormat="1" applyAlignment="1">
      <alignment horizontal="center"/>
    </xf>
    <xf numFmtId="0" fontId="0" fillId="0" borderId="0" xfId="0" applyAlignment="1">
      <alignment horizontal="center"/>
    </xf>
    <xf numFmtId="164" fontId="0" fillId="0" borderId="0" xfId="0" applyNumberFormat="1" applyAlignment="1">
      <alignment horizontal="center"/>
    </xf>
    <xf numFmtId="164" fontId="0" fillId="0" borderId="0" xfId="0" applyNumberFormat="1" applyAlignment="1">
      <alignment horizontal="left"/>
    </xf>
    <xf numFmtId="164" fontId="0" fillId="0" borderId="0" xfId="0" applyNumberFormat="1"/>
    <xf numFmtId="164" fontId="0" fillId="3" borderId="0" xfId="0" applyNumberFormat="1" applyFill="1" applyAlignment="1">
      <alignment horizontal="left"/>
    </xf>
    <xf numFmtId="0" fontId="0" fillId="4" borderId="0" xfId="0" applyNumberFormat="1" applyFill="1" applyAlignment="1">
      <alignment horizontal="center"/>
    </xf>
    <xf numFmtId="0" fontId="0" fillId="4" borderId="0" xfId="0" applyFill="1" applyAlignment="1">
      <alignment horizontal="center"/>
    </xf>
    <xf numFmtId="0" fontId="0" fillId="2" borderId="6" xfId="0" applyFill="1" applyBorder="1"/>
    <xf numFmtId="0" fontId="0" fillId="6" borderId="0" xfId="0" applyFill="1"/>
    <xf numFmtId="164" fontId="0" fillId="6" borderId="0" xfId="0" applyNumberFormat="1" applyFill="1"/>
    <xf numFmtId="0" fontId="1" fillId="5" borderId="1" xfId="0" applyFont="1" applyFill="1" applyBorder="1"/>
    <xf numFmtId="0" fontId="0" fillId="5" borderId="2" xfId="0" applyFill="1" applyBorder="1"/>
    <xf numFmtId="0" fontId="1" fillId="5" borderId="7" xfId="0" applyFont="1" applyFill="1" applyBorder="1"/>
    <xf numFmtId="0" fontId="0" fillId="5" borderId="8" xfId="0" applyFill="1" applyBorder="1"/>
    <xf numFmtId="0" fontId="1" fillId="5" borderId="3" xfId="0" applyFont="1" applyFill="1" applyBorder="1"/>
    <xf numFmtId="0" fontId="0" fillId="5" borderId="4" xfId="0" applyFill="1" applyBorder="1"/>
    <xf numFmtId="0" fontId="0" fillId="7" borderId="1" xfId="0" applyFill="1" applyBorder="1"/>
    <xf numFmtId="0" fontId="0" fillId="7" borderId="3" xfId="0" applyFill="1" applyBorder="1"/>
    <xf numFmtId="0" fontId="0" fillId="7" borderId="4" xfId="0" applyFill="1" applyBorder="1"/>
    <xf numFmtId="4" fontId="0" fillId="7" borderId="2" xfId="0" applyNumberFormat="1" applyFill="1" applyBorder="1"/>
    <xf numFmtId="0" fontId="0" fillId="7" borderId="5" xfId="0" applyFill="1" applyBorder="1"/>
    <xf numFmtId="0" fontId="3" fillId="8" borderId="9" xfId="1"/>
  </cellXfs>
  <cellStyles count="2">
    <cellStyle name="Input" xfId="1" builtinId="20"/>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v>Employees and Average Salary</c:v>
          </c:tx>
          <c:spPr>
            <a:ln w="28575">
              <a:noFill/>
            </a:ln>
          </c:spPr>
          <c:trendline>
            <c:trendlineType val="linear"/>
            <c:dispRSqr val="1"/>
            <c:dispEq val="1"/>
            <c:trendlineLbl>
              <c:layout>
                <c:manualLayout>
                  <c:x val="0.39712510936132994"/>
                  <c:y val="-0.15307961504811893"/>
                </c:manualLayout>
              </c:layout>
              <c:numFmt formatCode="General" sourceLinked="0"/>
            </c:trendlineLbl>
          </c:trendline>
          <c:xVal>
            <c:numRef>
              <c:f>'Step 3'!$D$3:$D$28</c:f>
              <c:numCache>
                <c:formatCode>General</c:formatCode>
                <c:ptCount val="26"/>
                <c:pt idx="0">
                  <c:v>200</c:v>
                </c:pt>
                <c:pt idx="1">
                  <c:v>300</c:v>
                </c:pt>
                <c:pt idx="2">
                  <c:v>400</c:v>
                </c:pt>
                <c:pt idx="3">
                  <c:v>500</c:v>
                </c:pt>
                <c:pt idx="4">
                  <c:v>600</c:v>
                </c:pt>
                <c:pt idx="5">
                  <c:v>800</c:v>
                </c:pt>
                <c:pt idx="6">
                  <c:v>100</c:v>
                </c:pt>
                <c:pt idx="7">
                  <c:v>500</c:v>
                </c:pt>
                <c:pt idx="8">
                  <c:v>300</c:v>
                </c:pt>
                <c:pt idx="9">
                  <c:v>400</c:v>
                </c:pt>
                <c:pt idx="10">
                  <c:v>600</c:v>
                </c:pt>
                <c:pt idx="11">
                  <c:v>500</c:v>
                </c:pt>
                <c:pt idx="12">
                  <c:v>200</c:v>
                </c:pt>
                <c:pt idx="13">
                  <c:v>250</c:v>
                </c:pt>
                <c:pt idx="14">
                  <c:v>130</c:v>
                </c:pt>
                <c:pt idx="15">
                  <c:v>650</c:v>
                </c:pt>
                <c:pt idx="16">
                  <c:v>856</c:v>
                </c:pt>
                <c:pt idx="17">
                  <c:v>450</c:v>
                </c:pt>
                <c:pt idx="18">
                  <c:v>80</c:v>
                </c:pt>
                <c:pt idx="19">
                  <c:v>580</c:v>
                </c:pt>
                <c:pt idx="20">
                  <c:v>56</c:v>
                </c:pt>
                <c:pt idx="21">
                  <c:v>26</c:v>
                </c:pt>
                <c:pt idx="22">
                  <c:v>105</c:v>
                </c:pt>
                <c:pt idx="23">
                  <c:v>25</c:v>
                </c:pt>
                <c:pt idx="24">
                  <c:v>35</c:v>
                </c:pt>
                <c:pt idx="25">
                  <c:v>152</c:v>
                </c:pt>
              </c:numCache>
            </c:numRef>
          </c:xVal>
          <c:yVal>
            <c:numRef>
              <c:f>'Step 3'!$F$3:$F$28</c:f>
              <c:numCache>
                <c:formatCode>"$"#,##0.00</c:formatCode>
                <c:ptCount val="26"/>
                <c:pt idx="0">
                  <c:v>93639.111211429874</c:v>
                </c:pt>
                <c:pt idx="1">
                  <c:v>107199.58018781044</c:v>
                </c:pt>
                <c:pt idx="2">
                  <c:v>89962.660084389296</c:v>
                </c:pt>
                <c:pt idx="3">
                  <c:v>136968.32426771193</c:v>
                </c:pt>
                <c:pt idx="4">
                  <c:v>60060.545554194323</c:v>
                </c:pt>
                <c:pt idx="5">
                  <c:v>179089.4640466269</c:v>
                </c:pt>
                <c:pt idx="6">
                  <c:v>92423.622195294127</c:v>
                </c:pt>
                <c:pt idx="7">
                  <c:v>126567.25291673389</c:v>
                </c:pt>
                <c:pt idx="8">
                  <c:v>128660.93674358859</c:v>
                </c:pt>
                <c:pt idx="9">
                  <c:v>67157.497330847938</c:v>
                </c:pt>
                <c:pt idx="10">
                  <c:v>125664.92274884715</c:v>
                </c:pt>
                <c:pt idx="11">
                  <c:v>69181.449629659037</c:v>
                </c:pt>
                <c:pt idx="12">
                  <c:v>108373.41712953421</c:v>
                </c:pt>
                <c:pt idx="13">
                  <c:v>67398.908671029931</c:v>
                </c:pt>
                <c:pt idx="14">
                  <c:v>29270.303553445941</c:v>
                </c:pt>
                <c:pt idx="15">
                  <c:v>161896.57652718516</c:v>
                </c:pt>
                <c:pt idx="16">
                  <c:v>121367.42033836799</c:v>
                </c:pt>
                <c:pt idx="17">
                  <c:v>127532.2871137788</c:v>
                </c:pt>
                <c:pt idx="18">
                  <c:v>72422.274228654991</c:v>
                </c:pt>
                <c:pt idx="19">
                  <c:v>101314.7767834807</c:v>
                </c:pt>
                <c:pt idx="20">
                  <c:v>86236.109180529296</c:v>
                </c:pt>
                <c:pt idx="21">
                  <c:v>97581.256137950972</c:v>
                </c:pt>
                <c:pt idx="22">
                  <c:v>85713.802163448971</c:v>
                </c:pt>
                <c:pt idx="23">
                  <c:v>37276.246319173777</c:v>
                </c:pt>
                <c:pt idx="24">
                  <c:v>93879.55037312489</c:v>
                </c:pt>
                <c:pt idx="25">
                  <c:v>51263.094060994503</c:v>
                </c:pt>
              </c:numCache>
            </c:numRef>
          </c:yVal>
          <c:smooth val="0"/>
        </c:ser>
        <c:dLbls>
          <c:showLegendKey val="0"/>
          <c:showVal val="0"/>
          <c:showCatName val="0"/>
          <c:showSerName val="0"/>
          <c:showPercent val="0"/>
          <c:showBubbleSize val="0"/>
        </c:dLbls>
        <c:axId val="223133192"/>
        <c:axId val="222830456"/>
      </c:scatterChart>
      <c:valAx>
        <c:axId val="223133192"/>
        <c:scaling>
          <c:orientation val="minMax"/>
        </c:scaling>
        <c:delete val="0"/>
        <c:axPos val="b"/>
        <c:numFmt formatCode="General" sourceLinked="1"/>
        <c:majorTickMark val="out"/>
        <c:minorTickMark val="none"/>
        <c:tickLblPos val="nextTo"/>
        <c:crossAx val="222830456"/>
        <c:crosses val="autoZero"/>
        <c:crossBetween val="midCat"/>
      </c:valAx>
      <c:valAx>
        <c:axId val="222830456"/>
        <c:scaling>
          <c:orientation val="minMax"/>
        </c:scaling>
        <c:delete val="0"/>
        <c:axPos val="l"/>
        <c:majorGridlines/>
        <c:numFmt formatCode="&quot;$&quot;#,##0.00" sourceLinked="1"/>
        <c:majorTickMark val="out"/>
        <c:minorTickMark val="none"/>
        <c:tickLblPos val="nextTo"/>
        <c:crossAx val="223133192"/>
        <c:crosses val="autoZero"/>
        <c:crossBetween val="midCat"/>
      </c:valAx>
    </c:plotArea>
    <c:legend>
      <c:legendPos val="r"/>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v>Employees and Average Salary</c:v>
          </c:tx>
          <c:spPr>
            <a:ln w="28575">
              <a:noFill/>
            </a:ln>
          </c:spPr>
          <c:trendline>
            <c:trendlineType val="linear"/>
            <c:dispRSqr val="1"/>
            <c:dispEq val="1"/>
            <c:trendlineLbl>
              <c:layout>
                <c:manualLayout>
                  <c:x val="0.39712510936133005"/>
                  <c:y val="-0.15307961504811887"/>
                </c:manualLayout>
              </c:layout>
              <c:numFmt formatCode="General" sourceLinked="0"/>
            </c:trendlineLbl>
          </c:trendline>
          <c:xVal>
            <c:numRef>
              <c:f>'Step 4'!$D$3:$D$28</c:f>
              <c:numCache>
                <c:formatCode>General</c:formatCode>
                <c:ptCount val="26"/>
                <c:pt idx="0">
                  <c:v>200</c:v>
                </c:pt>
                <c:pt idx="1">
                  <c:v>300</c:v>
                </c:pt>
                <c:pt idx="2">
                  <c:v>400</c:v>
                </c:pt>
                <c:pt idx="3">
                  <c:v>500</c:v>
                </c:pt>
                <c:pt idx="4">
                  <c:v>600</c:v>
                </c:pt>
                <c:pt idx="5">
                  <c:v>800</c:v>
                </c:pt>
                <c:pt idx="6">
                  <c:v>100</c:v>
                </c:pt>
                <c:pt idx="7">
                  <c:v>500</c:v>
                </c:pt>
                <c:pt idx="8">
                  <c:v>300</c:v>
                </c:pt>
                <c:pt idx="9">
                  <c:v>400</c:v>
                </c:pt>
                <c:pt idx="10">
                  <c:v>600</c:v>
                </c:pt>
                <c:pt idx="11">
                  <c:v>500</c:v>
                </c:pt>
                <c:pt idx="12">
                  <c:v>200</c:v>
                </c:pt>
                <c:pt idx="13">
                  <c:v>250</c:v>
                </c:pt>
                <c:pt idx="14">
                  <c:v>130</c:v>
                </c:pt>
                <c:pt idx="15">
                  <c:v>650</c:v>
                </c:pt>
                <c:pt idx="16">
                  <c:v>856</c:v>
                </c:pt>
                <c:pt idx="17">
                  <c:v>450</c:v>
                </c:pt>
                <c:pt idx="18">
                  <c:v>80</c:v>
                </c:pt>
                <c:pt idx="19">
                  <c:v>580</c:v>
                </c:pt>
                <c:pt idx="20">
                  <c:v>56</c:v>
                </c:pt>
                <c:pt idx="21">
                  <c:v>26</c:v>
                </c:pt>
                <c:pt idx="22">
                  <c:v>105</c:v>
                </c:pt>
                <c:pt idx="23">
                  <c:v>25</c:v>
                </c:pt>
                <c:pt idx="24">
                  <c:v>35</c:v>
                </c:pt>
                <c:pt idx="25">
                  <c:v>152</c:v>
                </c:pt>
              </c:numCache>
            </c:numRef>
          </c:xVal>
          <c:yVal>
            <c:numRef>
              <c:f>'Step 4'!$F$3:$F$28</c:f>
              <c:numCache>
                <c:formatCode>"$"#,##0.00</c:formatCode>
                <c:ptCount val="26"/>
                <c:pt idx="0">
                  <c:v>93639.111211429874</c:v>
                </c:pt>
                <c:pt idx="1">
                  <c:v>107199.58018781044</c:v>
                </c:pt>
                <c:pt idx="2">
                  <c:v>89962.660084389296</c:v>
                </c:pt>
                <c:pt idx="3">
                  <c:v>136968.32426771193</c:v>
                </c:pt>
                <c:pt idx="4">
                  <c:v>60060.545554194323</c:v>
                </c:pt>
                <c:pt idx="5">
                  <c:v>179089.4640466269</c:v>
                </c:pt>
                <c:pt idx="6">
                  <c:v>92423.622195294127</c:v>
                </c:pt>
                <c:pt idx="7">
                  <c:v>126567.25291673389</c:v>
                </c:pt>
                <c:pt idx="8">
                  <c:v>128660.93674358859</c:v>
                </c:pt>
                <c:pt idx="9">
                  <c:v>67157.497330847938</c:v>
                </c:pt>
                <c:pt idx="10">
                  <c:v>125664.92274884715</c:v>
                </c:pt>
                <c:pt idx="11">
                  <c:v>69181.449629659037</c:v>
                </c:pt>
                <c:pt idx="12">
                  <c:v>108373.41712953421</c:v>
                </c:pt>
                <c:pt idx="13">
                  <c:v>67398.908671029931</c:v>
                </c:pt>
                <c:pt idx="14">
                  <c:v>29270.303553445941</c:v>
                </c:pt>
                <c:pt idx="15">
                  <c:v>161896.57652718516</c:v>
                </c:pt>
                <c:pt idx="16">
                  <c:v>121367.42033836799</c:v>
                </c:pt>
                <c:pt idx="17">
                  <c:v>127532.2871137788</c:v>
                </c:pt>
                <c:pt idx="18">
                  <c:v>72422.274228654991</c:v>
                </c:pt>
                <c:pt idx="19">
                  <c:v>101314.7767834807</c:v>
                </c:pt>
                <c:pt idx="20">
                  <c:v>86236.109180529296</c:v>
                </c:pt>
                <c:pt idx="21">
                  <c:v>97581.256137950972</c:v>
                </c:pt>
                <c:pt idx="22">
                  <c:v>85713.802163448971</c:v>
                </c:pt>
                <c:pt idx="23">
                  <c:v>37276.246319173777</c:v>
                </c:pt>
                <c:pt idx="24">
                  <c:v>93879.55037312489</c:v>
                </c:pt>
                <c:pt idx="25">
                  <c:v>51263.094060994503</c:v>
                </c:pt>
              </c:numCache>
            </c:numRef>
          </c:yVal>
          <c:smooth val="0"/>
        </c:ser>
        <c:dLbls>
          <c:showLegendKey val="0"/>
          <c:showVal val="0"/>
          <c:showCatName val="0"/>
          <c:showSerName val="0"/>
          <c:showPercent val="0"/>
          <c:showBubbleSize val="0"/>
        </c:dLbls>
        <c:axId val="222947040"/>
        <c:axId val="222947424"/>
      </c:scatterChart>
      <c:valAx>
        <c:axId val="222947040"/>
        <c:scaling>
          <c:orientation val="minMax"/>
        </c:scaling>
        <c:delete val="0"/>
        <c:axPos val="b"/>
        <c:numFmt formatCode="General" sourceLinked="1"/>
        <c:majorTickMark val="out"/>
        <c:minorTickMark val="none"/>
        <c:tickLblPos val="nextTo"/>
        <c:crossAx val="222947424"/>
        <c:crosses val="autoZero"/>
        <c:crossBetween val="midCat"/>
      </c:valAx>
      <c:valAx>
        <c:axId val="222947424"/>
        <c:scaling>
          <c:orientation val="minMax"/>
        </c:scaling>
        <c:delete val="0"/>
        <c:axPos val="l"/>
        <c:majorGridlines/>
        <c:numFmt formatCode="&quot;$&quot;#,##0.00" sourceLinked="1"/>
        <c:majorTickMark val="out"/>
        <c:minorTickMark val="none"/>
        <c:tickLblPos val="nextTo"/>
        <c:crossAx val="222947040"/>
        <c:crosses val="autoZero"/>
        <c:crossBetween val="midCat"/>
      </c:valAx>
    </c:plotArea>
    <c:legend>
      <c:legendPos val="r"/>
      <c:layou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v>Employees and Average Salary</c:v>
          </c:tx>
          <c:spPr>
            <a:ln w="28575">
              <a:noFill/>
            </a:ln>
          </c:spPr>
          <c:trendline>
            <c:trendlineType val="linear"/>
            <c:dispRSqr val="1"/>
            <c:dispEq val="1"/>
            <c:trendlineLbl>
              <c:layout>
                <c:manualLayout>
                  <c:x val="0.39712510936133016"/>
                  <c:y val="-0.15307961504811887"/>
                </c:manualLayout>
              </c:layout>
              <c:numFmt formatCode="General" sourceLinked="0"/>
            </c:trendlineLbl>
          </c:trendline>
          <c:xVal>
            <c:numRef>
              <c:f>'Step 5'!$D$3:$D$28</c:f>
              <c:numCache>
                <c:formatCode>General</c:formatCode>
                <c:ptCount val="26"/>
                <c:pt idx="0">
                  <c:v>200</c:v>
                </c:pt>
                <c:pt idx="1">
                  <c:v>300</c:v>
                </c:pt>
                <c:pt idx="2">
                  <c:v>400</c:v>
                </c:pt>
                <c:pt idx="3">
                  <c:v>500</c:v>
                </c:pt>
                <c:pt idx="4">
                  <c:v>600</c:v>
                </c:pt>
                <c:pt idx="5">
                  <c:v>800</c:v>
                </c:pt>
                <c:pt idx="6">
                  <c:v>100</c:v>
                </c:pt>
                <c:pt idx="7">
                  <c:v>500</c:v>
                </c:pt>
                <c:pt idx="8">
                  <c:v>300</c:v>
                </c:pt>
                <c:pt idx="9">
                  <c:v>400</c:v>
                </c:pt>
                <c:pt idx="10">
                  <c:v>600</c:v>
                </c:pt>
                <c:pt idx="11">
                  <c:v>500</c:v>
                </c:pt>
                <c:pt idx="12">
                  <c:v>200</c:v>
                </c:pt>
                <c:pt idx="13">
                  <c:v>250</c:v>
                </c:pt>
                <c:pt idx="14">
                  <c:v>130</c:v>
                </c:pt>
                <c:pt idx="15">
                  <c:v>650</c:v>
                </c:pt>
                <c:pt idx="16">
                  <c:v>856</c:v>
                </c:pt>
                <c:pt idx="17">
                  <c:v>450</c:v>
                </c:pt>
                <c:pt idx="18">
                  <c:v>80</c:v>
                </c:pt>
                <c:pt idx="19">
                  <c:v>580</c:v>
                </c:pt>
                <c:pt idx="20">
                  <c:v>56</c:v>
                </c:pt>
                <c:pt idx="21">
                  <c:v>26</c:v>
                </c:pt>
                <c:pt idx="22">
                  <c:v>105</c:v>
                </c:pt>
                <c:pt idx="23">
                  <c:v>25</c:v>
                </c:pt>
                <c:pt idx="24">
                  <c:v>35</c:v>
                </c:pt>
                <c:pt idx="25">
                  <c:v>152</c:v>
                </c:pt>
              </c:numCache>
            </c:numRef>
          </c:xVal>
          <c:yVal>
            <c:numRef>
              <c:f>'Step 5'!$F$3:$F$28</c:f>
              <c:numCache>
                <c:formatCode>"$"#,##0.00</c:formatCode>
                <c:ptCount val="26"/>
                <c:pt idx="0">
                  <c:v>93639.111211429874</c:v>
                </c:pt>
                <c:pt idx="1">
                  <c:v>107199.58018781044</c:v>
                </c:pt>
                <c:pt idx="2">
                  <c:v>89962.660084389296</c:v>
                </c:pt>
                <c:pt idx="3">
                  <c:v>136968.32426771193</c:v>
                </c:pt>
                <c:pt idx="4">
                  <c:v>60060.545554194323</c:v>
                </c:pt>
                <c:pt idx="5">
                  <c:v>179089.4640466269</c:v>
                </c:pt>
                <c:pt idx="6">
                  <c:v>92423.622195294127</c:v>
                </c:pt>
                <c:pt idx="7">
                  <c:v>126567.25291673389</c:v>
                </c:pt>
                <c:pt idx="8">
                  <c:v>128660.93674358859</c:v>
                </c:pt>
                <c:pt idx="9">
                  <c:v>67157.497330847938</c:v>
                </c:pt>
                <c:pt idx="10">
                  <c:v>125664.92274884715</c:v>
                </c:pt>
                <c:pt idx="11">
                  <c:v>69181.449629659037</c:v>
                </c:pt>
                <c:pt idx="12">
                  <c:v>108373.41712953421</c:v>
                </c:pt>
                <c:pt idx="13">
                  <c:v>67398.908671029931</c:v>
                </c:pt>
                <c:pt idx="14">
                  <c:v>29270.303553445941</c:v>
                </c:pt>
                <c:pt idx="15">
                  <c:v>161896.57652718516</c:v>
                </c:pt>
                <c:pt idx="16">
                  <c:v>121367.42033836799</c:v>
                </c:pt>
                <c:pt idx="17">
                  <c:v>127532.2871137788</c:v>
                </c:pt>
                <c:pt idx="18">
                  <c:v>72422.274228654991</c:v>
                </c:pt>
                <c:pt idx="19">
                  <c:v>101314.7767834807</c:v>
                </c:pt>
                <c:pt idx="20">
                  <c:v>86236.109180529296</c:v>
                </c:pt>
                <c:pt idx="21">
                  <c:v>97581.256137950972</c:v>
                </c:pt>
                <c:pt idx="22">
                  <c:v>85713.802163448971</c:v>
                </c:pt>
                <c:pt idx="23">
                  <c:v>37276.246319173777</c:v>
                </c:pt>
                <c:pt idx="24">
                  <c:v>93879.55037312489</c:v>
                </c:pt>
                <c:pt idx="25">
                  <c:v>51263.094060994503</c:v>
                </c:pt>
              </c:numCache>
            </c:numRef>
          </c:yVal>
          <c:smooth val="0"/>
        </c:ser>
        <c:dLbls>
          <c:showLegendKey val="0"/>
          <c:showVal val="0"/>
          <c:showCatName val="0"/>
          <c:showSerName val="0"/>
          <c:showPercent val="0"/>
          <c:showBubbleSize val="0"/>
        </c:dLbls>
        <c:axId val="222501840"/>
        <c:axId val="222502224"/>
      </c:scatterChart>
      <c:valAx>
        <c:axId val="222501840"/>
        <c:scaling>
          <c:orientation val="minMax"/>
        </c:scaling>
        <c:delete val="0"/>
        <c:axPos val="b"/>
        <c:numFmt formatCode="General" sourceLinked="1"/>
        <c:majorTickMark val="out"/>
        <c:minorTickMark val="none"/>
        <c:tickLblPos val="nextTo"/>
        <c:crossAx val="222502224"/>
        <c:crosses val="autoZero"/>
        <c:crossBetween val="midCat"/>
      </c:valAx>
      <c:valAx>
        <c:axId val="222502224"/>
        <c:scaling>
          <c:orientation val="minMax"/>
        </c:scaling>
        <c:delete val="0"/>
        <c:axPos val="l"/>
        <c:majorGridlines/>
        <c:numFmt formatCode="&quot;$&quot;#,##0.00" sourceLinked="1"/>
        <c:majorTickMark val="out"/>
        <c:minorTickMark val="none"/>
        <c:tickLblPos val="nextTo"/>
        <c:crossAx val="222501840"/>
        <c:crosses val="autoZero"/>
        <c:crossBetween val="midCat"/>
      </c:valAx>
    </c:plotArea>
    <c:legend>
      <c:legendPos val="r"/>
      <c:layout/>
      <c:overlay val="0"/>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v>Employees and Average Salary</c:v>
          </c:tx>
          <c:spPr>
            <a:ln w="28575">
              <a:noFill/>
            </a:ln>
          </c:spPr>
          <c:trendline>
            <c:trendlineType val="linear"/>
            <c:dispRSqr val="1"/>
            <c:dispEq val="1"/>
            <c:trendlineLbl>
              <c:layout>
                <c:manualLayout>
                  <c:x val="0.39712510936133028"/>
                  <c:y val="-0.15307961504811887"/>
                </c:manualLayout>
              </c:layout>
              <c:numFmt formatCode="General" sourceLinked="0"/>
            </c:trendlineLbl>
          </c:trendline>
          <c:xVal>
            <c:numRef>
              <c:f>'Step 6'!$D$3:$D$28</c:f>
              <c:numCache>
                <c:formatCode>General</c:formatCode>
                <c:ptCount val="26"/>
                <c:pt idx="0">
                  <c:v>200</c:v>
                </c:pt>
                <c:pt idx="1">
                  <c:v>300</c:v>
                </c:pt>
                <c:pt idx="2">
                  <c:v>400</c:v>
                </c:pt>
                <c:pt idx="3">
                  <c:v>500</c:v>
                </c:pt>
                <c:pt idx="4">
                  <c:v>600</c:v>
                </c:pt>
                <c:pt idx="5">
                  <c:v>800</c:v>
                </c:pt>
                <c:pt idx="6">
                  <c:v>100</c:v>
                </c:pt>
                <c:pt idx="7">
                  <c:v>500</c:v>
                </c:pt>
                <c:pt idx="8">
                  <c:v>300</c:v>
                </c:pt>
                <c:pt idx="9">
                  <c:v>400</c:v>
                </c:pt>
                <c:pt idx="10">
                  <c:v>600</c:v>
                </c:pt>
                <c:pt idx="11">
                  <c:v>500</c:v>
                </c:pt>
                <c:pt idx="12">
                  <c:v>200</c:v>
                </c:pt>
                <c:pt idx="13">
                  <c:v>250</c:v>
                </c:pt>
                <c:pt idx="14">
                  <c:v>130</c:v>
                </c:pt>
                <c:pt idx="15">
                  <c:v>650</c:v>
                </c:pt>
                <c:pt idx="16">
                  <c:v>856</c:v>
                </c:pt>
                <c:pt idx="17">
                  <c:v>450</c:v>
                </c:pt>
                <c:pt idx="18">
                  <c:v>80</c:v>
                </c:pt>
                <c:pt idx="19">
                  <c:v>580</c:v>
                </c:pt>
                <c:pt idx="20">
                  <c:v>56</c:v>
                </c:pt>
                <c:pt idx="21">
                  <c:v>26</c:v>
                </c:pt>
                <c:pt idx="22">
                  <c:v>105</c:v>
                </c:pt>
                <c:pt idx="23">
                  <c:v>25</c:v>
                </c:pt>
                <c:pt idx="24">
                  <c:v>35</c:v>
                </c:pt>
                <c:pt idx="25">
                  <c:v>152</c:v>
                </c:pt>
              </c:numCache>
            </c:numRef>
          </c:xVal>
          <c:yVal>
            <c:numRef>
              <c:f>'Step 6'!$F$3:$F$28</c:f>
              <c:numCache>
                <c:formatCode>"$"#,##0.00</c:formatCode>
                <c:ptCount val="26"/>
                <c:pt idx="0">
                  <c:v>93639.111211429874</c:v>
                </c:pt>
                <c:pt idx="1">
                  <c:v>107199.58018781044</c:v>
                </c:pt>
                <c:pt idx="2">
                  <c:v>89962.660084389296</c:v>
                </c:pt>
                <c:pt idx="3">
                  <c:v>136968.32426771193</c:v>
                </c:pt>
                <c:pt idx="4">
                  <c:v>60060.545554194323</c:v>
                </c:pt>
                <c:pt idx="5">
                  <c:v>179089.4640466269</c:v>
                </c:pt>
                <c:pt idx="6">
                  <c:v>92423.622195294127</c:v>
                </c:pt>
                <c:pt idx="7">
                  <c:v>126567.25291673389</c:v>
                </c:pt>
                <c:pt idx="8">
                  <c:v>128660.93674358859</c:v>
                </c:pt>
                <c:pt idx="9">
                  <c:v>67157.497330847938</c:v>
                </c:pt>
                <c:pt idx="10">
                  <c:v>125664.92274884715</c:v>
                </c:pt>
                <c:pt idx="11">
                  <c:v>69181.449629659037</c:v>
                </c:pt>
                <c:pt idx="12">
                  <c:v>108373.41712953421</c:v>
                </c:pt>
                <c:pt idx="13">
                  <c:v>67398.908671029931</c:v>
                </c:pt>
                <c:pt idx="14">
                  <c:v>29270.303553445941</c:v>
                </c:pt>
                <c:pt idx="15">
                  <c:v>161896.57652718516</c:v>
                </c:pt>
                <c:pt idx="16">
                  <c:v>121367.42033836799</c:v>
                </c:pt>
                <c:pt idx="17">
                  <c:v>127532.2871137788</c:v>
                </c:pt>
                <c:pt idx="18">
                  <c:v>72422.274228654991</c:v>
                </c:pt>
                <c:pt idx="19">
                  <c:v>101314.7767834807</c:v>
                </c:pt>
                <c:pt idx="20">
                  <c:v>86236.109180529296</c:v>
                </c:pt>
                <c:pt idx="21">
                  <c:v>97581.256137950972</c:v>
                </c:pt>
                <c:pt idx="22">
                  <c:v>85713.802163448971</c:v>
                </c:pt>
                <c:pt idx="23">
                  <c:v>37276.246319173777</c:v>
                </c:pt>
                <c:pt idx="24">
                  <c:v>93879.55037312489</c:v>
                </c:pt>
                <c:pt idx="25">
                  <c:v>51263.094060994503</c:v>
                </c:pt>
              </c:numCache>
            </c:numRef>
          </c:yVal>
          <c:smooth val="0"/>
        </c:ser>
        <c:dLbls>
          <c:showLegendKey val="0"/>
          <c:showVal val="0"/>
          <c:showCatName val="0"/>
          <c:showSerName val="0"/>
          <c:showPercent val="0"/>
          <c:showBubbleSize val="0"/>
        </c:dLbls>
        <c:axId val="222607824"/>
        <c:axId val="222612304"/>
      </c:scatterChart>
      <c:valAx>
        <c:axId val="222607824"/>
        <c:scaling>
          <c:orientation val="minMax"/>
        </c:scaling>
        <c:delete val="0"/>
        <c:axPos val="b"/>
        <c:numFmt formatCode="General" sourceLinked="1"/>
        <c:majorTickMark val="out"/>
        <c:minorTickMark val="none"/>
        <c:tickLblPos val="nextTo"/>
        <c:crossAx val="222612304"/>
        <c:crosses val="autoZero"/>
        <c:crossBetween val="midCat"/>
      </c:valAx>
      <c:valAx>
        <c:axId val="222612304"/>
        <c:scaling>
          <c:orientation val="minMax"/>
        </c:scaling>
        <c:delete val="0"/>
        <c:axPos val="l"/>
        <c:majorGridlines/>
        <c:numFmt formatCode="&quot;$&quot;#,##0.00" sourceLinked="1"/>
        <c:majorTickMark val="out"/>
        <c:minorTickMark val="none"/>
        <c:tickLblPos val="nextTo"/>
        <c:crossAx val="222607824"/>
        <c:crosses val="autoZero"/>
        <c:crossBetween val="midCat"/>
      </c:valAx>
    </c:plotArea>
    <c:legend>
      <c:legendPos val="r"/>
      <c:layout/>
      <c:overlay val="0"/>
    </c:legend>
    <c:plotVisOnly val="1"/>
    <c:dispBlanksAs val="gap"/>
    <c:showDLblsOverMax val="0"/>
  </c:chart>
  <c:printSettings>
    <c:headerFooter/>
    <c:pageMargins b="0.75000000000000122" l="0.70000000000000062" r="0.70000000000000062" t="0.750000000000001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v>Employees and Average Salary</c:v>
          </c:tx>
          <c:spPr>
            <a:ln w="28575">
              <a:noFill/>
            </a:ln>
          </c:spPr>
          <c:trendline>
            <c:trendlineType val="linear"/>
            <c:dispRSqr val="1"/>
            <c:dispEq val="1"/>
            <c:trendlineLbl>
              <c:layout>
                <c:manualLayout>
                  <c:x val="0.39712510936133039"/>
                  <c:y val="-0.15307961504811887"/>
                </c:manualLayout>
              </c:layout>
              <c:numFmt formatCode="General" sourceLinked="0"/>
            </c:trendlineLbl>
          </c:trendline>
          <c:xVal>
            <c:numRef>
              <c:f>'Step 7'!$D$3:$D$28</c:f>
              <c:numCache>
                <c:formatCode>General</c:formatCode>
                <c:ptCount val="26"/>
                <c:pt idx="0">
                  <c:v>200</c:v>
                </c:pt>
                <c:pt idx="1">
                  <c:v>300</c:v>
                </c:pt>
                <c:pt idx="2">
                  <c:v>400</c:v>
                </c:pt>
                <c:pt idx="3">
                  <c:v>500</c:v>
                </c:pt>
                <c:pt idx="4">
                  <c:v>600</c:v>
                </c:pt>
                <c:pt idx="5">
                  <c:v>800</c:v>
                </c:pt>
                <c:pt idx="6">
                  <c:v>100</c:v>
                </c:pt>
                <c:pt idx="7">
                  <c:v>500</c:v>
                </c:pt>
                <c:pt idx="8">
                  <c:v>300</c:v>
                </c:pt>
                <c:pt idx="9">
                  <c:v>400</c:v>
                </c:pt>
                <c:pt idx="10">
                  <c:v>600</c:v>
                </c:pt>
                <c:pt idx="11">
                  <c:v>500</c:v>
                </c:pt>
                <c:pt idx="12">
                  <c:v>200</c:v>
                </c:pt>
                <c:pt idx="13">
                  <c:v>250</c:v>
                </c:pt>
                <c:pt idx="14">
                  <c:v>130</c:v>
                </c:pt>
                <c:pt idx="15">
                  <c:v>650</c:v>
                </c:pt>
                <c:pt idx="16">
                  <c:v>856</c:v>
                </c:pt>
                <c:pt idx="17">
                  <c:v>450</c:v>
                </c:pt>
                <c:pt idx="18">
                  <c:v>80</c:v>
                </c:pt>
                <c:pt idx="19">
                  <c:v>580</c:v>
                </c:pt>
                <c:pt idx="20">
                  <c:v>56</c:v>
                </c:pt>
                <c:pt idx="21">
                  <c:v>26</c:v>
                </c:pt>
                <c:pt idx="22">
                  <c:v>105</c:v>
                </c:pt>
                <c:pt idx="23">
                  <c:v>25</c:v>
                </c:pt>
                <c:pt idx="24">
                  <c:v>35</c:v>
                </c:pt>
                <c:pt idx="25">
                  <c:v>152</c:v>
                </c:pt>
              </c:numCache>
            </c:numRef>
          </c:xVal>
          <c:yVal>
            <c:numRef>
              <c:f>'Step 7'!$F$3:$F$28</c:f>
              <c:numCache>
                <c:formatCode>"$"#,##0.00</c:formatCode>
                <c:ptCount val="26"/>
                <c:pt idx="0">
                  <c:v>93639.111211429874</c:v>
                </c:pt>
                <c:pt idx="1">
                  <c:v>107199.58018781044</c:v>
                </c:pt>
                <c:pt idx="2">
                  <c:v>89962.660084389296</c:v>
                </c:pt>
                <c:pt idx="3">
                  <c:v>136968.32426771193</c:v>
                </c:pt>
                <c:pt idx="4">
                  <c:v>60060.545554194323</c:v>
                </c:pt>
                <c:pt idx="5">
                  <c:v>179089.4640466269</c:v>
                </c:pt>
                <c:pt idx="6">
                  <c:v>92423.622195294127</c:v>
                </c:pt>
                <c:pt idx="7">
                  <c:v>126567.25291673389</c:v>
                </c:pt>
                <c:pt idx="8">
                  <c:v>128660.93674358859</c:v>
                </c:pt>
                <c:pt idx="9">
                  <c:v>67157.497330847938</c:v>
                </c:pt>
                <c:pt idx="10">
                  <c:v>125664.92274884715</c:v>
                </c:pt>
                <c:pt idx="11">
                  <c:v>69181.449629659037</c:v>
                </c:pt>
                <c:pt idx="12">
                  <c:v>108373.41712953421</c:v>
                </c:pt>
                <c:pt idx="13">
                  <c:v>67398.908671029931</c:v>
                </c:pt>
                <c:pt idx="14">
                  <c:v>29270.303553445941</c:v>
                </c:pt>
                <c:pt idx="15">
                  <c:v>161896.57652718516</c:v>
                </c:pt>
                <c:pt idx="16">
                  <c:v>121367.42033836799</c:v>
                </c:pt>
                <c:pt idx="17">
                  <c:v>127532.2871137788</c:v>
                </c:pt>
                <c:pt idx="18">
                  <c:v>72422.274228654991</c:v>
                </c:pt>
                <c:pt idx="19">
                  <c:v>101314.7767834807</c:v>
                </c:pt>
                <c:pt idx="20">
                  <c:v>86236.109180529296</c:v>
                </c:pt>
                <c:pt idx="21">
                  <c:v>97581.256137950972</c:v>
                </c:pt>
                <c:pt idx="22">
                  <c:v>85713.802163448971</c:v>
                </c:pt>
                <c:pt idx="23">
                  <c:v>37276.246319173777</c:v>
                </c:pt>
                <c:pt idx="24">
                  <c:v>93879.55037312489</c:v>
                </c:pt>
                <c:pt idx="25">
                  <c:v>51263.094060994503</c:v>
                </c:pt>
              </c:numCache>
            </c:numRef>
          </c:yVal>
          <c:smooth val="0"/>
        </c:ser>
        <c:dLbls>
          <c:showLegendKey val="0"/>
          <c:showVal val="0"/>
          <c:showCatName val="0"/>
          <c:showSerName val="0"/>
          <c:showPercent val="0"/>
          <c:showBubbleSize val="0"/>
        </c:dLbls>
        <c:axId val="220286776"/>
        <c:axId val="220287168"/>
      </c:scatterChart>
      <c:valAx>
        <c:axId val="220286776"/>
        <c:scaling>
          <c:orientation val="minMax"/>
        </c:scaling>
        <c:delete val="0"/>
        <c:axPos val="b"/>
        <c:numFmt formatCode="General" sourceLinked="1"/>
        <c:majorTickMark val="out"/>
        <c:minorTickMark val="none"/>
        <c:tickLblPos val="nextTo"/>
        <c:crossAx val="220287168"/>
        <c:crosses val="autoZero"/>
        <c:crossBetween val="midCat"/>
      </c:valAx>
      <c:valAx>
        <c:axId val="220287168"/>
        <c:scaling>
          <c:orientation val="minMax"/>
        </c:scaling>
        <c:delete val="0"/>
        <c:axPos val="l"/>
        <c:majorGridlines/>
        <c:numFmt formatCode="&quot;$&quot;#,##0.00" sourceLinked="1"/>
        <c:majorTickMark val="out"/>
        <c:minorTickMark val="none"/>
        <c:tickLblPos val="nextTo"/>
        <c:crossAx val="220286776"/>
        <c:crosses val="autoZero"/>
        <c:crossBetween val="midCat"/>
      </c:valAx>
    </c:plotArea>
    <c:legend>
      <c:legendPos val="r"/>
      <c:layout/>
      <c:overlay val="0"/>
    </c:legend>
    <c:plotVisOnly val="1"/>
    <c:dispBlanksAs val="gap"/>
    <c:showDLblsOverMax val="0"/>
  </c:chart>
  <c:printSettings>
    <c:headerFooter/>
    <c:pageMargins b="0.75000000000000144" l="0.70000000000000062" r="0.70000000000000062" t="0.75000000000000144"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238125</xdr:colOff>
      <xdr:row>2</xdr:row>
      <xdr:rowOff>19050</xdr:rowOff>
    </xdr:from>
    <xdr:to>
      <xdr:col>6</xdr:col>
      <xdr:colOff>533400</xdr:colOff>
      <xdr:row>12</xdr:row>
      <xdr:rowOff>142875</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38125" y="342900"/>
          <a:ext cx="3952875" cy="1743075"/>
        </a:xfrm>
        <a:prstGeom prst="rect">
          <a:avLst/>
        </a:prstGeom>
        <a:noFill/>
        <a:ln w="1">
          <a:noFill/>
          <a:miter lim="800000"/>
          <a:headEnd/>
          <a:tailEnd type="none" w="med" len="med"/>
        </a:ln>
        <a:effectLst/>
      </xdr:spPr>
    </xdr:pic>
    <xdr:clientData/>
  </xdr:twoCellAnchor>
  <xdr:twoCellAnchor>
    <xdr:from>
      <xdr:col>8</xdr:col>
      <xdr:colOff>323850</xdr:colOff>
      <xdr:row>4</xdr:row>
      <xdr:rowOff>38099</xdr:rowOff>
    </xdr:from>
    <xdr:to>
      <xdr:col>15</xdr:col>
      <xdr:colOff>104775</xdr:colOff>
      <xdr:row>32</xdr:row>
      <xdr:rowOff>114300</xdr:rowOff>
    </xdr:to>
    <xdr:sp macro="" textlink="">
      <xdr:nvSpPr>
        <xdr:cNvPr id="3" name="TextBox 2"/>
        <xdr:cNvSpPr txBox="1"/>
      </xdr:nvSpPr>
      <xdr:spPr>
        <a:xfrm>
          <a:off x="5200650" y="685799"/>
          <a:ext cx="4048125" cy="4629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First, make sure to ENABLE macros</a:t>
          </a:r>
          <a:r>
            <a:rPr lang="en-US" sz="1100" baseline="0"/>
            <a:t> by clicking the "Options" button!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r>
            <a:rPr lang="en-US" sz="1100" baseline="0"/>
            <a:t>To test if you did it right, highilght cells C15:D17 and hit ctrl+w.  If Macros are working, you'll get a "Mean" value.  If not, Excel will ask you if you want to save (and close if you click yes or no!).</a:t>
          </a:r>
        </a:p>
        <a:p>
          <a:endParaRPr lang="en-US" sz="1100" baseline="0"/>
        </a:p>
        <a:p>
          <a:endParaRPr lang="en-US" sz="1100" baseline="0"/>
        </a:p>
        <a:p>
          <a:endParaRPr lang="en-US" sz="1100" baseline="0"/>
        </a:p>
        <a:p>
          <a:endParaRPr lang="en-US" sz="1100" baseline="0"/>
        </a:p>
        <a:p>
          <a:r>
            <a:rPr lang="en-US" sz="1100" baseline="0"/>
            <a:t>Once you're done with this, go to the next "tab" at the bottom of the excel document ("Step 1").</a:t>
          </a:r>
          <a:endParaRPr lang="en-US" sz="1100"/>
        </a:p>
      </xdr:txBody>
    </xdr:sp>
    <xdr:clientData/>
  </xdr:twoCellAnchor>
  <xdr:twoCellAnchor>
    <xdr:from>
      <xdr:col>7</xdr:col>
      <xdr:colOff>9526</xdr:colOff>
      <xdr:row>5</xdr:row>
      <xdr:rowOff>123825</xdr:rowOff>
    </xdr:from>
    <xdr:to>
      <xdr:col>8</xdr:col>
      <xdr:colOff>247650</xdr:colOff>
      <xdr:row>6</xdr:row>
      <xdr:rowOff>95250</xdr:rowOff>
    </xdr:to>
    <xdr:cxnSp macro="">
      <xdr:nvCxnSpPr>
        <xdr:cNvPr id="5" name="Straight Arrow Connector 4"/>
        <xdr:cNvCxnSpPr/>
      </xdr:nvCxnSpPr>
      <xdr:spPr>
        <a:xfrm flipH="1">
          <a:off x="4276726" y="933450"/>
          <a:ext cx="847724" cy="133350"/>
        </a:xfrm>
        <a:prstGeom prst="straightConnector1">
          <a:avLst/>
        </a:prstGeom>
        <a:ln w="254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133350</xdr:colOff>
      <xdr:row>15</xdr:row>
      <xdr:rowOff>57150</xdr:rowOff>
    </xdr:from>
    <xdr:to>
      <xdr:col>8</xdr:col>
      <xdr:colOff>295274</xdr:colOff>
      <xdr:row>19</xdr:row>
      <xdr:rowOff>28575</xdr:rowOff>
    </xdr:to>
    <xdr:cxnSp macro="">
      <xdr:nvCxnSpPr>
        <xdr:cNvPr id="7" name="Straight Arrow Connector 6"/>
        <xdr:cNvCxnSpPr/>
      </xdr:nvCxnSpPr>
      <xdr:spPr>
        <a:xfrm flipH="1" flipV="1">
          <a:off x="2571750" y="2486025"/>
          <a:ext cx="2600324" cy="619125"/>
        </a:xfrm>
        <a:prstGeom prst="straightConnector1">
          <a:avLst/>
        </a:prstGeom>
        <a:ln w="254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533400</xdr:colOff>
      <xdr:row>28</xdr:row>
      <xdr:rowOff>85725</xdr:rowOff>
    </xdr:from>
    <xdr:to>
      <xdr:col>13</xdr:col>
      <xdr:colOff>285750</xdr:colOff>
      <xdr:row>29</xdr:row>
      <xdr:rowOff>114300</xdr:rowOff>
    </xdr:to>
    <xdr:pic>
      <xdr:nvPicPr>
        <xdr:cNvPr id="1026"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6019800" y="4638675"/>
          <a:ext cx="2190750" cy="19050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104775</xdr:colOff>
      <xdr:row>1</xdr:row>
      <xdr:rowOff>142875</xdr:rowOff>
    </xdr:from>
    <xdr:to>
      <xdr:col>14</xdr:col>
      <xdr:colOff>0</xdr:colOff>
      <xdr:row>33</xdr:row>
      <xdr:rowOff>66674</xdr:rowOff>
    </xdr:to>
    <xdr:sp macro="" textlink="">
      <xdr:nvSpPr>
        <xdr:cNvPr id="2" name="TextBox 1"/>
        <xdr:cNvSpPr txBox="1"/>
      </xdr:nvSpPr>
      <xdr:spPr>
        <a:xfrm>
          <a:off x="6762750" y="304800"/>
          <a:ext cx="3771900" cy="510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Once you've estimated the tasks</a:t>
          </a:r>
          <a:r>
            <a:rPr lang="en-US" sz="1100" baseline="0"/>
            <a:t> required and number of hours and staff persons required for each step of the decision making process (you can be creative in making this up - no right or wrong answers!), you'll need to estimate the costs.  This spreadsheet will both (a) help you calculate those costs, and (b) introduce you to many of the fundamentals of excel.</a:t>
          </a:r>
        </a:p>
        <a:p>
          <a:endParaRPr lang="en-US" sz="1100"/>
        </a:p>
        <a:p>
          <a:r>
            <a:rPr lang="en-US" sz="1100"/>
            <a:t>First, calculate the average salary of each employee in each of the above, imagined companies.  We can do this one of two ways:</a:t>
          </a:r>
        </a:p>
        <a:p>
          <a:endParaRPr lang="en-US" sz="1100"/>
        </a:p>
        <a:p>
          <a:r>
            <a:rPr lang="en-US" sz="1100"/>
            <a:t>(1) Manual Calculations</a:t>
          </a:r>
        </a:p>
        <a:p>
          <a:r>
            <a:rPr lang="en-US" sz="1100"/>
            <a:t>This one is easy.  Click in cell "F3" and type in (without the quotes) "=18727822.24/200" , then press enter.   We don't want</a:t>
          </a:r>
          <a:r>
            <a:rPr lang="en-US" sz="1100" baseline="0"/>
            <a:t> to have to do this for every calculation though, so..:</a:t>
          </a:r>
          <a:endParaRPr lang="en-US" sz="1100"/>
        </a:p>
        <a:p>
          <a:endParaRPr lang="en-US" sz="1100"/>
        </a:p>
        <a:p>
          <a:endParaRPr lang="en-US" sz="1100"/>
        </a:p>
        <a:p>
          <a:r>
            <a:rPr lang="en-US" sz="1100"/>
            <a:t>(2) Automatic Calculations</a:t>
          </a:r>
        </a:p>
        <a:p>
          <a:r>
            <a:rPr lang="en-US" sz="1100"/>
            <a:t>Excel works based on cells, so we can also just tell Excel to divide one cell by the other.  Click in cell G3 and type in "=E3/D3".</a:t>
          </a:r>
        </a:p>
        <a:p>
          <a:endParaRPr lang="en-US" sz="1100"/>
        </a:p>
        <a:p>
          <a:r>
            <a:rPr lang="en-US" sz="1100"/>
            <a:t>You can now</a:t>
          </a:r>
          <a:r>
            <a:rPr lang="en-US" sz="1100" baseline="0"/>
            <a:t> "Fill" this equation down into the other two companies so you don't have to type it over and over again.  Highlight cell G3 and hold down shift, and then click cell G5.  With those cells highlighted, click on "Home" on the top Menu, then all the way at the right click "Fill" then "Down".</a:t>
          </a:r>
        </a:p>
        <a:p>
          <a:endParaRPr lang="en-US" sz="1100" baseline="0"/>
        </a:p>
        <a:p>
          <a:endParaRPr lang="en-US" sz="1100" baseline="0"/>
        </a:p>
        <a:p>
          <a:r>
            <a:rPr lang="en-US" sz="1100" baseline="0"/>
            <a:t>Go to Step 2 when you're ready!</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57150</xdr:colOff>
      <xdr:row>1</xdr:row>
      <xdr:rowOff>38100</xdr:rowOff>
    </xdr:from>
    <xdr:to>
      <xdr:col>13</xdr:col>
      <xdr:colOff>171450</xdr:colOff>
      <xdr:row>42</xdr:row>
      <xdr:rowOff>114301</xdr:rowOff>
    </xdr:to>
    <xdr:sp macro="" textlink="">
      <xdr:nvSpPr>
        <xdr:cNvPr id="2" name="TextBox 1"/>
        <xdr:cNvSpPr txBox="1"/>
      </xdr:nvSpPr>
      <xdr:spPr>
        <a:xfrm>
          <a:off x="5543550" y="200025"/>
          <a:ext cx="3771900" cy="67151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Now, we want to know if there is a correlation between the average annual salary of an employee and the number of employees in a company, and display this information on a graph.  This information will be helpful for your LOE, as you'll want to estimate how much each</a:t>
          </a:r>
          <a:r>
            <a:rPr lang="en-US" sz="1100" baseline="0"/>
            <a:t> employee (and employee-hour) will cost.</a:t>
          </a:r>
          <a:endParaRPr lang="en-US" sz="1100"/>
        </a:p>
        <a:p>
          <a:endParaRPr lang="en-US" sz="1100"/>
        </a:p>
        <a:p>
          <a:r>
            <a:rPr lang="en-US" sz="1100"/>
            <a:t>First, fill</a:t>
          </a:r>
          <a:r>
            <a:rPr lang="en-US" sz="1100" baseline="0"/>
            <a:t> the equation in F5 (highlighted in yellow) down so that it covers all of the companies.</a:t>
          </a:r>
        </a:p>
        <a:p>
          <a:endParaRPr lang="en-US" sz="1100" baseline="0"/>
        </a:p>
        <a:p>
          <a:r>
            <a:rPr lang="en-US" sz="1100" baseline="0"/>
            <a:t>Make sure no data is selected, then click "Insert" at the top, followed by "Scatter", then the first option "Scatter only with Markers"</a:t>
          </a:r>
        </a:p>
        <a:p>
          <a:endParaRPr lang="en-US" sz="1100" baseline="0"/>
        </a:p>
        <a:p>
          <a:r>
            <a:rPr lang="en-US" sz="1100" baseline="0"/>
            <a:t>Right click on the white box this creates, and click "select data".</a:t>
          </a:r>
        </a:p>
        <a:p>
          <a:endParaRPr lang="en-US" sz="1100" baseline="0"/>
        </a:p>
        <a:p>
          <a:r>
            <a:rPr lang="en-US" sz="1100" baseline="0"/>
            <a:t>Click "Add"</a:t>
          </a:r>
        </a:p>
        <a:p>
          <a:endParaRPr lang="en-US" sz="1100" baseline="0"/>
        </a:p>
        <a:p>
          <a:r>
            <a:rPr lang="en-US" sz="1100"/>
            <a:t>For series name, type "Employees and Average Salary".</a:t>
          </a:r>
        </a:p>
        <a:p>
          <a:endParaRPr lang="en-US" sz="1100"/>
        </a:p>
        <a:p>
          <a:r>
            <a:rPr lang="en-US" sz="1100"/>
            <a:t>For</a:t>
          </a:r>
          <a:r>
            <a:rPr lang="en-US" sz="1100" baseline="0"/>
            <a:t> the X values, click the            button and select cells D3 to D28 (highlighted in orange).</a:t>
          </a:r>
        </a:p>
        <a:p>
          <a:endParaRPr lang="en-US" sz="1100" baseline="0"/>
        </a:p>
        <a:p>
          <a:r>
            <a:rPr lang="en-US" sz="1100" baseline="0"/>
            <a:t>For the Y values, click the same button and select the cells you created by dragging down the formula in cell F5.</a:t>
          </a:r>
        </a:p>
        <a:p>
          <a:endParaRPr lang="en-US" sz="1100" baseline="0"/>
        </a:p>
        <a:p>
          <a:r>
            <a:rPr lang="en-US" sz="1100" baseline="0"/>
            <a:t>Click OK twice, and look at your new scatterplot.</a:t>
          </a:r>
        </a:p>
        <a:p>
          <a:endParaRPr lang="en-US" sz="1100" baseline="0"/>
        </a:p>
        <a:p>
          <a:r>
            <a:rPr lang="en-US" sz="1100" baseline="0"/>
            <a:t>Right click on any of the new points this created and click "add trendline"</a:t>
          </a:r>
        </a:p>
        <a:p>
          <a:endParaRPr lang="en-US" sz="1100" baseline="0"/>
        </a:p>
        <a:p>
          <a:r>
            <a:rPr lang="en-US" sz="1100" baseline="0"/>
            <a:t>Choose linear, and make sure both Display Equation on chart and Display R-squared value on chart are selected, then click OK.  This will give you a new line on your chart!</a:t>
          </a:r>
        </a:p>
        <a:p>
          <a:endParaRPr lang="en-US" sz="1100" baseline="0"/>
        </a:p>
        <a:p>
          <a:endParaRPr lang="en-US" sz="1100"/>
        </a:p>
        <a:p>
          <a:endParaRPr lang="en-US" sz="1100"/>
        </a:p>
        <a:p>
          <a:endParaRPr lang="en-US" sz="1100"/>
        </a:p>
        <a:p>
          <a:r>
            <a:rPr lang="en-US" sz="1100"/>
            <a:t>When you're ready, move on to step 3.</a:t>
          </a:r>
        </a:p>
      </xdr:txBody>
    </xdr:sp>
    <xdr:clientData/>
  </xdr:twoCellAnchor>
  <xdr:twoCellAnchor editAs="oneCell">
    <xdr:from>
      <xdr:col>9</xdr:col>
      <xdr:colOff>419100</xdr:colOff>
      <xdr:row>23</xdr:row>
      <xdr:rowOff>19050</xdr:rowOff>
    </xdr:from>
    <xdr:to>
      <xdr:col>10</xdr:col>
      <xdr:colOff>85725</xdr:colOff>
      <xdr:row>24</xdr:row>
      <xdr:rowOff>133350</xdr:rowOff>
    </xdr:to>
    <xdr:pic>
      <xdr:nvPicPr>
        <xdr:cNvPr id="307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124700" y="3743325"/>
          <a:ext cx="276225" cy="276225"/>
        </a:xfrm>
        <a:prstGeom prst="rect">
          <a:avLst/>
        </a:prstGeom>
        <a:noFill/>
        <a:ln w="1">
          <a:noFill/>
          <a:miter lim="800000"/>
          <a:headEnd/>
          <a:tailEnd type="none" w="med" len="med"/>
        </a:ln>
        <a:effectLst/>
      </xdr:spPr>
    </xdr:pic>
    <xdr:clientData/>
  </xdr:twoCellAnchor>
  <xdr:twoCellAnchor editAs="oneCell">
    <xdr:from>
      <xdr:col>9</xdr:col>
      <xdr:colOff>66675</xdr:colOff>
      <xdr:row>38</xdr:row>
      <xdr:rowOff>152400</xdr:rowOff>
    </xdr:from>
    <xdr:to>
      <xdr:col>12</xdr:col>
      <xdr:colOff>85725</xdr:colOff>
      <xdr:row>41</xdr:row>
      <xdr:rowOff>47625</xdr:rowOff>
    </xdr:to>
    <xdr:pic>
      <xdr:nvPicPr>
        <xdr:cNvPr id="3074"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6772275" y="6305550"/>
          <a:ext cx="1847850" cy="381000"/>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514350</xdr:colOff>
      <xdr:row>3</xdr:row>
      <xdr:rowOff>9524</xdr:rowOff>
    </xdr:from>
    <xdr:to>
      <xdr:col>15</xdr:col>
      <xdr:colOff>19050</xdr:colOff>
      <xdr:row>26</xdr:row>
      <xdr:rowOff>28574</xdr:rowOff>
    </xdr:to>
    <xdr:sp macro="" textlink="">
      <xdr:nvSpPr>
        <xdr:cNvPr id="2" name="TextBox 1"/>
        <xdr:cNvSpPr txBox="1"/>
      </xdr:nvSpPr>
      <xdr:spPr>
        <a:xfrm>
          <a:off x="6581775" y="495299"/>
          <a:ext cx="3771900" cy="374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Now let's start introducing a</a:t>
          </a:r>
          <a:r>
            <a:rPr lang="en-US" sz="1100" baseline="0"/>
            <a:t> bit of uncertainty in our analysis.  In the real world, you rarely know the exact dollar values a given task will take.  In this mock-example, t</a:t>
          </a:r>
          <a:r>
            <a:rPr lang="en-US" sz="1100"/>
            <a:t>he bosses of every company got together and decided to give their employees entirely random bonuses, ranging from 0% to 100% of each</a:t>
          </a:r>
          <a:r>
            <a:rPr lang="en-US" sz="1100" baseline="0"/>
            <a:t> employees salary.</a:t>
          </a:r>
        </a:p>
        <a:p>
          <a:endParaRPr lang="en-US" sz="1100" baseline="0"/>
        </a:p>
        <a:p>
          <a:r>
            <a:rPr lang="en-US" sz="1100"/>
            <a:t>To</a:t>
          </a:r>
          <a:r>
            <a:rPr lang="en-US" sz="1100" baseline="0"/>
            <a:t> Calculate what these might be, lets create a new column and call it "Random Bonus" in field G2.</a:t>
          </a:r>
        </a:p>
        <a:p>
          <a:endParaRPr lang="en-US" sz="1100" baseline="0"/>
        </a:p>
        <a:p>
          <a:r>
            <a:rPr lang="en-US" sz="1100" baseline="0"/>
            <a:t>In Field G3, type in "=rand()".  This will create a random value between 0 and 1.  If you push "f9" on your keyboard, excel will generate a new random number.</a:t>
          </a:r>
        </a:p>
        <a:p>
          <a:endParaRPr lang="en-US" sz="1100" baseline="0"/>
        </a:p>
        <a:p>
          <a:r>
            <a:rPr lang="en-US" sz="1100" baseline="0"/>
            <a:t>Now, lets multiply this number by the average salary at the company.  To do this, change the value in cell G3 to "=rand()*F3"</a:t>
          </a:r>
        </a:p>
        <a:p>
          <a:endParaRPr lang="en-US" sz="1100" baseline="0"/>
        </a:p>
        <a:p>
          <a:r>
            <a:rPr lang="en-US" sz="1100" baseline="0"/>
            <a:t>Fill this formula down so that all companies have a value, and go to step 4!</a:t>
          </a:r>
        </a:p>
      </xdr:txBody>
    </xdr:sp>
    <xdr:clientData/>
  </xdr:twoCellAnchor>
  <xdr:twoCellAnchor>
    <xdr:from>
      <xdr:col>7</xdr:col>
      <xdr:colOff>447675</xdr:colOff>
      <xdr:row>27</xdr:row>
      <xdr:rowOff>38100</xdr:rowOff>
    </xdr:from>
    <xdr:to>
      <xdr:col>15</xdr:col>
      <xdr:colOff>142875</xdr:colOff>
      <xdr:row>44</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581025</xdr:colOff>
      <xdr:row>4</xdr:row>
      <xdr:rowOff>28575</xdr:rowOff>
    </xdr:from>
    <xdr:to>
      <xdr:col>15</xdr:col>
      <xdr:colOff>85725</xdr:colOff>
      <xdr:row>23</xdr:row>
      <xdr:rowOff>114300</xdr:rowOff>
    </xdr:to>
    <xdr:sp macro="" textlink="">
      <xdr:nvSpPr>
        <xdr:cNvPr id="2" name="TextBox 1"/>
        <xdr:cNvSpPr txBox="1"/>
      </xdr:nvSpPr>
      <xdr:spPr>
        <a:xfrm>
          <a:off x="7029450" y="676275"/>
          <a:ext cx="3771900" cy="3162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Sometimes, it is helpful to generate a random number between -1 and 1, rather than 0 and 1 (which is what rand() does).  </a:t>
          </a:r>
        </a:p>
        <a:p>
          <a:endParaRPr lang="en-US" sz="1100" baseline="0"/>
        </a:p>
        <a:p>
          <a:r>
            <a:rPr lang="en-US" sz="1100" baseline="0"/>
            <a:t>Let's experiment a bit.  In Cell J1 above, the formula entered is "=rand()", while the formula in J2 is long and complicated.  All you really need to know is that the formula in J2 will randomly give you a number between -1 and 1!  In cell G3, replace the "rand()" in your equation with "rand()*((-1)^INT(rand()*10)".  Now, the (ever so kind) bosses are applying bonuses to some employees and salary reductions to others!</a:t>
          </a:r>
        </a:p>
        <a:p>
          <a:endParaRPr lang="en-US" sz="1100" baseline="0"/>
        </a:p>
      </xdr:txBody>
    </xdr:sp>
    <xdr:clientData/>
  </xdr:twoCellAnchor>
  <xdr:twoCellAnchor>
    <xdr:from>
      <xdr:col>9</xdr:col>
      <xdr:colOff>95250</xdr:colOff>
      <xdr:row>27</xdr:row>
      <xdr:rowOff>19050</xdr:rowOff>
    </xdr:from>
    <xdr:to>
      <xdr:col>16</xdr:col>
      <xdr:colOff>400050</xdr:colOff>
      <xdr:row>44</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171450</xdr:colOff>
      <xdr:row>4</xdr:row>
      <xdr:rowOff>38100</xdr:rowOff>
    </xdr:from>
    <xdr:to>
      <xdr:col>16</xdr:col>
      <xdr:colOff>285750</xdr:colOff>
      <xdr:row>23</xdr:row>
      <xdr:rowOff>123825</xdr:rowOff>
    </xdr:to>
    <xdr:sp macro="" textlink="">
      <xdr:nvSpPr>
        <xdr:cNvPr id="2" name="TextBox 1"/>
        <xdr:cNvSpPr txBox="1"/>
      </xdr:nvSpPr>
      <xdr:spPr>
        <a:xfrm>
          <a:off x="7839075" y="685800"/>
          <a:ext cx="3771900" cy="3162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The bosses want to know how much money they will be spending annualy, including these new bonuses and paycuts.  </a:t>
          </a:r>
        </a:p>
        <a:p>
          <a:endParaRPr lang="en-US" sz="1100" baseline="0"/>
        </a:p>
        <a:p>
          <a:r>
            <a:rPr lang="en-US" sz="1100" baseline="0"/>
            <a:t>In cell H2, make a new field (lets call it "Total Bonus Costs").  In cell H3, multiply the random bonus (in cell G3) by the number of employees at the company (in cell D3).  If you fill this equation down, you will have a total for each company.</a:t>
          </a:r>
        </a:p>
        <a:p>
          <a:endParaRPr lang="en-US" sz="1100" baseline="0"/>
        </a:p>
        <a:p>
          <a:r>
            <a:rPr lang="en-US" sz="1100" baseline="0"/>
            <a:t>Next, create another colum in I2 (lets call it "Total Annual Costs").  In Cell I3, add the value in h3 to the value in e3.  This will give you an estimate of the total costs for each company.</a:t>
          </a:r>
        </a:p>
        <a:p>
          <a:endParaRPr lang="en-US" sz="1100" baseline="0"/>
        </a:p>
        <a:p>
          <a:r>
            <a:rPr lang="en-US" sz="1100" baseline="0"/>
            <a:t>Lets also find out how much the sum of every company will be.  To do this, highlight cell I29 (in red) and type in (without the quotes) "=sum(I2:I28)" and hit enter.  </a:t>
          </a:r>
        </a:p>
        <a:p>
          <a:endParaRPr lang="en-US" sz="1100" baseline="0"/>
        </a:p>
        <a:p>
          <a:r>
            <a:rPr lang="en-US" sz="1100" baseline="0"/>
            <a:t>When you're ready, onward to step 6!</a:t>
          </a:r>
        </a:p>
        <a:p>
          <a:endParaRPr lang="en-US" sz="1100" baseline="0"/>
        </a:p>
      </xdr:txBody>
    </xdr:sp>
    <xdr:clientData/>
  </xdr:twoCellAnchor>
  <xdr:twoCellAnchor>
    <xdr:from>
      <xdr:col>2</xdr:col>
      <xdr:colOff>38100</xdr:colOff>
      <xdr:row>29</xdr:row>
      <xdr:rowOff>95250</xdr:rowOff>
    </xdr:from>
    <xdr:to>
      <xdr:col>6</xdr:col>
      <xdr:colOff>981075</xdr:colOff>
      <xdr:row>46</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171450</xdr:colOff>
      <xdr:row>4</xdr:row>
      <xdr:rowOff>38099</xdr:rowOff>
    </xdr:from>
    <xdr:to>
      <xdr:col>16</xdr:col>
      <xdr:colOff>285750</xdr:colOff>
      <xdr:row>28</xdr:row>
      <xdr:rowOff>28574</xdr:rowOff>
    </xdr:to>
    <xdr:sp macro="" textlink="">
      <xdr:nvSpPr>
        <xdr:cNvPr id="2" name="TextBox 1"/>
        <xdr:cNvSpPr txBox="1"/>
      </xdr:nvSpPr>
      <xdr:spPr>
        <a:xfrm>
          <a:off x="9382125" y="685799"/>
          <a:ext cx="3771900" cy="387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Now we're ready to do the first estimation for your LOE.  Assuming there is no uncertainty (i.e., let's pretend there are no random paycuts), count up the number of hours you estimate individuals will need to complete the task outlined in assignment 1 (accounting for each step of the decision making process).  Now, assume you need to finish the task in a month, and employees can only work 40 hours a week.  How many employees will you need to finish on time?  </a:t>
          </a:r>
        </a:p>
        <a:p>
          <a:endParaRPr lang="en-US" sz="1100" baseline="0"/>
        </a:p>
        <a:p>
          <a:r>
            <a:rPr lang="en-US" sz="1100" baseline="0"/>
            <a:t>Take that number, and using the equation you generated in step 2, you can estimate what costs will be for that number of employees.  Click in any blank cell, and type in the equation from your chart (it should be something similar to y=86x+67800).</a:t>
          </a:r>
        </a:p>
        <a:p>
          <a:endParaRPr lang="en-US" sz="1100" baseline="0"/>
        </a:p>
        <a:p>
          <a:r>
            <a:rPr lang="en-US" sz="1100" baseline="0"/>
            <a:t>In an example where you need 350 employees, you would type "=(86 * 350) + 67800".  This would tell you what the anticipated average salary would be for each employee. </a:t>
          </a:r>
        </a:p>
        <a:p>
          <a:endParaRPr lang="en-US" sz="1100" baseline="0"/>
        </a:p>
        <a:p>
          <a:endParaRPr lang="en-US" sz="1100" baseline="0"/>
        </a:p>
        <a:p>
          <a:r>
            <a:rPr lang="en-US" sz="1100" baseline="0"/>
            <a:t>When you're ready, go on to step 7!</a:t>
          </a:r>
        </a:p>
      </xdr:txBody>
    </xdr:sp>
    <xdr:clientData/>
  </xdr:twoCellAnchor>
  <xdr:twoCellAnchor>
    <xdr:from>
      <xdr:col>2</xdr:col>
      <xdr:colOff>38100</xdr:colOff>
      <xdr:row>29</xdr:row>
      <xdr:rowOff>95250</xdr:rowOff>
    </xdr:from>
    <xdr:to>
      <xdr:col>6</xdr:col>
      <xdr:colOff>981075</xdr:colOff>
      <xdr:row>46</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390525</xdr:colOff>
      <xdr:row>3</xdr:row>
      <xdr:rowOff>19048</xdr:rowOff>
    </xdr:from>
    <xdr:to>
      <xdr:col>17</xdr:col>
      <xdr:colOff>504825</xdr:colOff>
      <xdr:row>42</xdr:row>
      <xdr:rowOff>152400</xdr:rowOff>
    </xdr:to>
    <xdr:sp macro="" textlink="">
      <xdr:nvSpPr>
        <xdr:cNvPr id="2" name="TextBox 1"/>
        <xdr:cNvSpPr txBox="1"/>
      </xdr:nvSpPr>
      <xdr:spPr>
        <a:xfrm>
          <a:off x="10544175" y="504823"/>
          <a:ext cx="3771900" cy="66103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Now, we want to account for the uncertainty in how much your competitors might be paying talent.  Because some employers pay much more and some much less, we want to produce a bounded estimate of what these values might be.  In the real world you would have no - or very limited - information on what your competitors pay for different positions.</a:t>
          </a:r>
        </a:p>
        <a:p>
          <a:endParaRPr lang="en-US" sz="1100" baseline="0"/>
        </a:p>
        <a:p>
          <a:r>
            <a:rPr lang="en-US" sz="1100" baseline="0"/>
            <a:t>I've added a new column - J - which is the average salary an employee gets at each company accounting for the random bonus or paycut (i.e., the simulated "what we don't really know").  I've also divided this by 8766, the number of hours in a year, to get the hourly rate.  Now we want to figure out how much we should estimate each hour will cost based on all of this information - and uncertainty!</a:t>
          </a:r>
        </a:p>
        <a:p>
          <a:endParaRPr lang="en-US" sz="1100" baseline="0"/>
        </a:p>
        <a:p>
          <a:r>
            <a:rPr lang="en-US" sz="1100" baseline="0"/>
            <a:t>This spreadsheet is "MonteCarlo" enabled, which allows us to answer these kinds of questions.  To do this, in cell H37 type in the number "500" - this is how many times we are going to look at random numbers.  Then, in cell I37, type in "=average(J3:J28)".  This will tell us, for each random sample, what the average hourly wage is.</a:t>
          </a:r>
        </a:p>
        <a:p>
          <a:endParaRPr lang="en-US" sz="1100" baseline="0"/>
        </a:p>
        <a:p>
          <a:r>
            <a:rPr lang="en-US" sz="1100" baseline="0"/>
            <a:t>Select the blue box, hit ctrl+w, and you will see what the estimated mean hourly rate is across all companies.</a:t>
          </a:r>
        </a:p>
        <a:p>
          <a:endParaRPr lang="en-US" sz="1100" baseline="0"/>
        </a:p>
        <a:p>
          <a:r>
            <a:rPr lang="en-US" sz="1100" baseline="0"/>
            <a:t>Once the calculations are done, you should have a new value (the mean of all iterations averages) in cell I38.   This value can be used to predict costs for your hourly employees in the LoE!</a:t>
          </a:r>
        </a:p>
        <a:p>
          <a:endParaRPr lang="en-US" sz="1100" baseline="0"/>
        </a:p>
        <a:p>
          <a:r>
            <a:rPr lang="en-US" sz="1100" baseline="0"/>
            <a:t>If you want to explore further, try selecting the area in orange as well as blue, then hit ctrl+w.  How might you interpret or use the "variance" value?</a:t>
          </a:r>
        </a:p>
        <a:p>
          <a:endParaRPr lang="en-US" sz="1100" baseline="0"/>
        </a:p>
        <a:p>
          <a:r>
            <a:rPr lang="en-US" sz="1100" baseline="0"/>
            <a:t>For extra points on your assignment, if you can figure it out attempt to conduct this analysis using only companies of the same predicted "size" as your own.  How does this impact the estimated hourly rate?</a:t>
          </a:r>
        </a:p>
      </xdr:txBody>
    </xdr:sp>
    <xdr:clientData/>
  </xdr:twoCellAnchor>
  <xdr:twoCellAnchor>
    <xdr:from>
      <xdr:col>2</xdr:col>
      <xdr:colOff>38100</xdr:colOff>
      <xdr:row>29</xdr:row>
      <xdr:rowOff>95250</xdr:rowOff>
    </xdr:from>
    <xdr:to>
      <xdr:col>6</xdr:col>
      <xdr:colOff>981075</xdr:colOff>
      <xdr:row>46</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4:D16"/>
  <sheetViews>
    <sheetView workbookViewId="0">
      <selection activeCell="C20" sqref="C20"/>
    </sheetView>
  </sheetViews>
  <sheetFormatPr defaultRowHeight="12.75" x14ac:dyDescent="0.2"/>
  <sheetData>
    <row r="14" spans="3:4" ht="13.5" thickBot="1" x14ac:dyDescent="0.25"/>
    <row r="15" spans="3:4" x14ac:dyDescent="0.2">
      <c r="C15" s="1">
        <v>100</v>
      </c>
      <c r="D15" s="2">
        <f ca="1">RAND()</f>
        <v>0.14106073046613743</v>
      </c>
    </row>
    <row r="16" spans="3:4" ht="13.5" thickBot="1" x14ac:dyDescent="0.25">
      <c r="C16" s="3"/>
      <c r="D16" s="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O5"/>
  <sheetViews>
    <sheetView workbookViewId="0">
      <selection activeCell="H11" sqref="H11"/>
    </sheetView>
  </sheetViews>
  <sheetFormatPr defaultRowHeight="12.75" x14ac:dyDescent="0.2"/>
  <cols>
    <col min="2" max="2" width="11" customWidth="1"/>
    <col min="3" max="3" width="9.5703125" bestFit="1" customWidth="1"/>
    <col min="4" max="4" width="11" customWidth="1"/>
    <col min="5" max="5" width="22.5703125" customWidth="1"/>
    <col min="13" max="13" width="9.5703125" bestFit="1" customWidth="1"/>
    <col min="14" max="14" width="21.140625" bestFit="1" customWidth="1"/>
    <col min="15" max="15" width="36.28515625" bestFit="1" customWidth="1"/>
  </cols>
  <sheetData>
    <row r="1" spans="1:15" x14ac:dyDescent="0.2">
      <c r="A1" s="5"/>
      <c r="B1" s="5"/>
      <c r="C1" s="5"/>
      <c r="D1" s="5"/>
    </row>
    <row r="2" spans="1:15" x14ac:dyDescent="0.2">
      <c r="A2" s="5"/>
      <c r="C2" s="8" t="s">
        <v>0</v>
      </c>
      <c r="D2" s="9" t="s">
        <v>4</v>
      </c>
      <c r="E2" s="10" t="s">
        <v>5</v>
      </c>
      <c r="M2" s="5"/>
      <c r="N2" s="5"/>
      <c r="O2" s="5"/>
    </row>
    <row r="3" spans="1:15" x14ac:dyDescent="0.2">
      <c r="A3" s="5"/>
      <c r="C3" s="11" t="s">
        <v>1</v>
      </c>
      <c r="D3" s="12">
        <v>200</v>
      </c>
      <c r="E3" s="14">
        <v>18727822.242285974</v>
      </c>
      <c r="M3" s="5"/>
      <c r="O3" s="6"/>
    </row>
    <row r="4" spans="1:15" x14ac:dyDescent="0.2">
      <c r="A4" s="5"/>
      <c r="C4" s="11" t="s">
        <v>2</v>
      </c>
      <c r="D4" s="12">
        <v>300</v>
      </c>
      <c r="E4" s="14">
        <v>32159874.056343131</v>
      </c>
      <c r="M4" s="5"/>
      <c r="O4" s="6"/>
    </row>
    <row r="5" spans="1:15" x14ac:dyDescent="0.2">
      <c r="C5" s="11" t="s">
        <v>3</v>
      </c>
      <c r="D5" s="13">
        <v>400</v>
      </c>
      <c r="E5" s="14">
        <v>35985064.03375572</v>
      </c>
      <c r="M5" s="5"/>
      <c r="O5" s="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sheetPr>
  <dimension ref="C2:F28"/>
  <sheetViews>
    <sheetView topLeftCell="A13" workbookViewId="0">
      <selection activeCell="O38" sqref="O38"/>
    </sheetView>
  </sheetViews>
  <sheetFormatPr defaultRowHeight="12.75" x14ac:dyDescent="0.2"/>
  <cols>
    <col min="3" max="3" width="9.5703125" bestFit="1" customWidth="1"/>
    <col min="4" max="4" width="10.85546875" bestFit="1" customWidth="1"/>
    <col min="5" max="5" width="19.28515625" bestFit="1" customWidth="1"/>
    <col min="6" max="6" width="15.140625" bestFit="1" customWidth="1"/>
  </cols>
  <sheetData>
    <row r="2" spans="3:6" x14ac:dyDescent="0.2">
      <c r="C2" s="8" t="s">
        <v>0</v>
      </c>
      <c r="D2" s="9" t="s">
        <v>4</v>
      </c>
      <c r="E2" s="10" t="s">
        <v>5</v>
      </c>
      <c r="F2" s="7" t="s">
        <v>6</v>
      </c>
    </row>
    <row r="3" spans="3:6" x14ac:dyDescent="0.2">
      <c r="C3" s="11" t="s">
        <v>1</v>
      </c>
      <c r="D3" s="18">
        <v>200</v>
      </c>
      <c r="E3" s="15">
        <v>18727822.242285974</v>
      </c>
      <c r="F3" s="15">
        <f>E3/D3</f>
        <v>93639.111211429874</v>
      </c>
    </row>
    <row r="4" spans="3:6" x14ac:dyDescent="0.2">
      <c r="C4" s="11" t="s">
        <v>2</v>
      </c>
      <c r="D4" s="18">
        <v>300</v>
      </c>
      <c r="E4" s="15">
        <v>32159874.056343131</v>
      </c>
      <c r="F4" s="15">
        <f t="shared" ref="F4:F5" si="0">E4/D4</f>
        <v>107199.58018781044</v>
      </c>
    </row>
    <row r="5" spans="3:6" x14ac:dyDescent="0.2">
      <c r="C5" s="11" t="s">
        <v>3</v>
      </c>
      <c r="D5" s="19">
        <v>400</v>
      </c>
      <c r="E5" s="15">
        <v>35985064.03375572</v>
      </c>
      <c r="F5" s="17">
        <f t="shared" si="0"/>
        <v>89962.660084389296</v>
      </c>
    </row>
    <row r="6" spans="3:6" x14ac:dyDescent="0.2">
      <c r="C6" s="11" t="s">
        <v>7</v>
      </c>
      <c r="D6" s="19">
        <v>500</v>
      </c>
      <c r="E6" s="15">
        <v>68484162.133855969</v>
      </c>
    </row>
    <row r="7" spans="3:6" x14ac:dyDescent="0.2">
      <c r="C7" s="11" t="s">
        <v>8</v>
      </c>
      <c r="D7" s="19">
        <v>600</v>
      </c>
      <c r="E7" s="15">
        <v>36036327.332516596</v>
      </c>
    </row>
    <row r="8" spans="3:6" x14ac:dyDescent="0.2">
      <c r="C8" s="11" t="s">
        <v>9</v>
      </c>
      <c r="D8" s="19">
        <v>800</v>
      </c>
      <c r="E8" s="15">
        <v>143271571.23730153</v>
      </c>
    </row>
    <row r="9" spans="3:6" x14ac:dyDescent="0.2">
      <c r="C9" s="11" t="s">
        <v>10</v>
      </c>
      <c r="D9" s="19">
        <v>100</v>
      </c>
      <c r="E9" s="15">
        <v>9242362.2195294127</v>
      </c>
    </row>
    <row r="10" spans="3:6" x14ac:dyDescent="0.2">
      <c r="C10" s="11" t="s">
        <v>11</v>
      </c>
      <c r="D10" s="19">
        <v>500</v>
      </c>
      <c r="E10" s="15">
        <v>63283626.458366945</v>
      </c>
    </row>
    <row r="11" spans="3:6" x14ac:dyDescent="0.2">
      <c r="C11" s="11" t="s">
        <v>12</v>
      </c>
      <c r="D11" s="19">
        <v>300</v>
      </c>
      <c r="E11" s="15">
        <v>38598281.023076579</v>
      </c>
    </row>
    <row r="12" spans="3:6" x14ac:dyDescent="0.2">
      <c r="C12" s="11" t="s">
        <v>13</v>
      </c>
      <c r="D12" s="19">
        <v>400</v>
      </c>
      <c r="E12" s="15">
        <v>26862998.932339177</v>
      </c>
    </row>
    <row r="13" spans="3:6" x14ac:dyDescent="0.2">
      <c r="C13" s="11" t="s">
        <v>14</v>
      </c>
      <c r="D13" s="19">
        <v>600</v>
      </c>
      <c r="E13" s="15">
        <v>75398953.649308294</v>
      </c>
    </row>
    <row r="14" spans="3:6" x14ac:dyDescent="0.2">
      <c r="C14" s="11" t="s">
        <v>15</v>
      </c>
      <c r="D14" s="19">
        <v>500</v>
      </c>
      <c r="E14" s="15">
        <v>34590724.814829521</v>
      </c>
    </row>
    <row r="15" spans="3:6" x14ac:dyDescent="0.2">
      <c r="C15" s="11" t="s">
        <v>16</v>
      </c>
      <c r="D15" s="19">
        <v>200</v>
      </c>
      <c r="E15" s="15">
        <v>21674683.425906841</v>
      </c>
    </row>
    <row r="16" spans="3:6" x14ac:dyDescent="0.2">
      <c r="C16" s="11" t="s">
        <v>17</v>
      </c>
      <c r="D16" s="19">
        <v>250</v>
      </c>
      <c r="E16" s="15">
        <v>16849727.167757481</v>
      </c>
    </row>
    <row r="17" spans="3:5" x14ac:dyDescent="0.2">
      <c r="C17" s="11" t="s">
        <v>18</v>
      </c>
      <c r="D17" s="19">
        <v>130</v>
      </c>
      <c r="E17" s="15">
        <v>3805139.4619479724</v>
      </c>
    </row>
    <row r="18" spans="3:5" x14ac:dyDescent="0.2">
      <c r="C18" s="11" t="s">
        <v>19</v>
      </c>
      <c r="D18" s="19">
        <v>650</v>
      </c>
      <c r="E18" s="15">
        <v>105232774.74267036</v>
      </c>
    </row>
    <row r="19" spans="3:5" x14ac:dyDescent="0.2">
      <c r="C19" s="11" t="s">
        <v>20</v>
      </c>
      <c r="D19" s="19">
        <v>856</v>
      </c>
      <c r="E19" s="15">
        <v>103890511.809643</v>
      </c>
    </row>
    <row r="20" spans="3:5" x14ac:dyDescent="0.2">
      <c r="C20" s="11" t="s">
        <v>21</v>
      </c>
      <c r="D20" s="19">
        <v>450</v>
      </c>
      <c r="E20" s="15">
        <v>57389529.201200463</v>
      </c>
    </row>
    <row r="21" spans="3:5" x14ac:dyDescent="0.2">
      <c r="C21" s="11" t="s">
        <v>22</v>
      </c>
      <c r="D21" s="19">
        <v>80</v>
      </c>
      <c r="E21" s="15">
        <v>5793781.938292399</v>
      </c>
    </row>
    <row r="22" spans="3:5" x14ac:dyDescent="0.2">
      <c r="C22" s="11" t="s">
        <v>23</v>
      </c>
      <c r="D22" s="19">
        <v>580</v>
      </c>
      <c r="E22" s="15">
        <v>58762570.534418806</v>
      </c>
    </row>
    <row r="23" spans="3:5" x14ac:dyDescent="0.2">
      <c r="C23" s="11" t="s">
        <v>24</v>
      </c>
      <c r="D23" s="19">
        <v>56</v>
      </c>
      <c r="E23" s="15">
        <v>4829222.1141096409</v>
      </c>
    </row>
    <row r="24" spans="3:5" x14ac:dyDescent="0.2">
      <c r="C24" s="11" t="s">
        <v>25</v>
      </c>
      <c r="D24" s="19">
        <v>26</v>
      </c>
      <c r="E24" s="15">
        <v>2537112.6595867253</v>
      </c>
    </row>
    <row r="25" spans="3:5" x14ac:dyDescent="0.2">
      <c r="C25" s="11" t="s">
        <v>26</v>
      </c>
      <c r="D25" s="19">
        <v>105</v>
      </c>
      <c r="E25" s="15">
        <v>8999949.2271621414</v>
      </c>
    </row>
    <row r="26" spans="3:5" x14ac:dyDescent="0.2">
      <c r="C26" s="11" t="s">
        <v>27</v>
      </c>
      <c r="D26" s="19">
        <v>25</v>
      </c>
      <c r="E26" s="15">
        <v>931906.15797934448</v>
      </c>
    </row>
    <row r="27" spans="3:5" x14ac:dyDescent="0.2">
      <c r="C27" s="11" t="s">
        <v>28</v>
      </c>
      <c r="D27" s="19">
        <v>35</v>
      </c>
      <c r="E27" s="15">
        <v>3285784.2630593712</v>
      </c>
    </row>
    <row r="28" spans="3:5" x14ac:dyDescent="0.2">
      <c r="C28" s="11" t="s">
        <v>29</v>
      </c>
      <c r="D28" s="19">
        <v>152</v>
      </c>
      <c r="E28" s="15">
        <v>7791990.2972711641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249977111117893"/>
  </sheetPr>
  <dimension ref="C2:F28"/>
  <sheetViews>
    <sheetView workbookViewId="0">
      <selection activeCell="I14" sqref="I14"/>
    </sheetView>
  </sheetViews>
  <sheetFormatPr defaultRowHeight="12.75" x14ac:dyDescent="0.2"/>
  <cols>
    <col min="4" max="4" width="10.85546875" bestFit="1" customWidth="1"/>
    <col min="5" max="5" width="19.28515625" bestFit="1" customWidth="1"/>
    <col min="6" max="6" width="15.140625" bestFit="1" customWidth="1"/>
  </cols>
  <sheetData>
    <row r="2" spans="3:6" x14ac:dyDescent="0.2">
      <c r="C2" s="8" t="s">
        <v>0</v>
      </c>
      <c r="D2" s="9" t="s">
        <v>4</v>
      </c>
      <c r="E2" s="10" t="s">
        <v>5</v>
      </c>
      <c r="F2" s="7" t="s">
        <v>6</v>
      </c>
    </row>
    <row r="3" spans="3:6" x14ac:dyDescent="0.2">
      <c r="C3" s="11" t="s">
        <v>1</v>
      </c>
      <c r="D3" s="18">
        <v>200</v>
      </c>
      <c r="E3" s="15">
        <v>18727822.242285974</v>
      </c>
      <c r="F3" s="15">
        <f>E3/D3</f>
        <v>93639.111211429874</v>
      </c>
    </row>
    <row r="4" spans="3:6" x14ac:dyDescent="0.2">
      <c r="C4" s="11" t="s">
        <v>2</v>
      </c>
      <c r="D4" s="18">
        <v>300</v>
      </c>
      <c r="E4" s="15">
        <v>32159874.056343131</v>
      </c>
      <c r="F4" s="15">
        <f t="shared" ref="F4:F28" si="0">E4/D4</f>
        <v>107199.58018781044</v>
      </c>
    </row>
    <row r="5" spans="3:6" x14ac:dyDescent="0.2">
      <c r="C5" s="11" t="s">
        <v>3</v>
      </c>
      <c r="D5" s="19">
        <v>400</v>
      </c>
      <c r="E5" s="15">
        <v>35985064.03375572</v>
      </c>
      <c r="F5" s="15">
        <f t="shared" si="0"/>
        <v>89962.660084389296</v>
      </c>
    </row>
    <row r="6" spans="3:6" x14ac:dyDescent="0.2">
      <c r="C6" s="11" t="s">
        <v>7</v>
      </c>
      <c r="D6" s="19">
        <v>500</v>
      </c>
      <c r="E6" s="15">
        <v>68484162.133855969</v>
      </c>
      <c r="F6" s="15">
        <f t="shared" si="0"/>
        <v>136968.32426771193</v>
      </c>
    </row>
    <row r="7" spans="3:6" x14ac:dyDescent="0.2">
      <c r="C7" s="11" t="s">
        <v>8</v>
      </c>
      <c r="D7" s="19">
        <v>600</v>
      </c>
      <c r="E7" s="15">
        <v>36036327.332516596</v>
      </c>
      <c r="F7" s="15">
        <f t="shared" si="0"/>
        <v>60060.545554194323</v>
      </c>
    </row>
    <row r="8" spans="3:6" x14ac:dyDescent="0.2">
      <c r="C8" s="11" t="s">
        <v>9</v>
      </c>
      <c r="D8" s="19">
        <v>800</v>
      </c>
      <c r="E8" s="15">
        <v>143271571.23730153</v>
      </c>
      <c r="F8" s="15">
        <f t="shared" si="0"/>
        <v>179089.4640466269</v>
      </c>
    </row>
    <row r="9" spans="3:6" x14ac:dyDescent="0.2">
      <c r="C9" s="11" t="s">
        <v>10</v>
      </c>
      <c r="D9" s="19">
        <v>100</v>
      </c>
      <c r="E9" s="15">
        <v>9242362.2195294127</v>
      </c>
      <c r="F9" s="15">
        <f t="shared" si="0"/>
        <v>92423.622195294127</v>
      </c>
    </row>
    <row r="10" spans="3:6" x14ac:dyDescent="0.2">
      <c r="C10" s="11" t="s">
        <v>11</v>
      </c>
      <c r="D10" s="19">
        <v>500</v>
      </c>
      <c r="E10" s="15">
        <v>63283626.458366945</v>
      </c>
      <c r="F10" s="15">
        <f t="shared" si="0"/>
        <v>126567.25291673389</v>
      </c>
    </row>
    <row r="11" spans="3:6" x14ac:dyDescent="0.2">
      <c r="C11" s="11" t="s">
        <v>12</v>
      </c>
      <c r="D11" s="19">
        <v>300</v>
      </c>
      <c r="E11" s="15">
        <v>38598281.023076579</v>
      </c>
      <c r="F11" s="15">
        <f t="shared" si="0"/>
        <v>128660.93674358859</v>
      </c>
    </row>
    <row r="12" spans="3:6" x14ac:dyDescent="0.2">
      <c r="C12" s="11" t="s">
        <v>13</v>
      </c>
      <c r="D12" s="19">
        <v>400</v>
      </c>
      <c r="E12" s="15">
        <v>26862998.932339177</v>
      </c>
      <c r="F12" s="15">
        <f t="shared" si="0"/>
        <v>67157.497330847938</v>
      </c>
    </row>
    <row r="13" spans="3:6" x14ac:dyDescent="0.2">
      <c r="C13" s="11" t="s">
        <v>14</v>
      </c>
      <c r="D13" s="19">
        <v>600</v>
      </c>
      <c r="E13" s="15">
        <v>75398953.649308294</v>
      </c>
      <c r="F13" s="15">
        <f t="shared" si="0"/>
        <v>125664.92274884715</v>
      </c>
    </row>
    <row r="14" spans="3:6" x14ac:dyDescent="0.2">
      <c r="C14" s="11" t="s">
        <v>15</v>
      </c>
      <c r="D14" s="19">
        <v>500</v>
      </c>
      <c r="E14" s="15">
        <v>34590724.814829521</v>
      </c>
      <c r="F14" s="15">
        <f t="shared" si="0"/>
        <v>69181.449629659037</v>
      </c>
    </row>
    <row r="15" spans="3:6" x14ac:dyDescent="0.2">
      <c r="C15" s="11" t="s">
        <v>16</v>
      </c>
      <c r="D15" s="19">
        <v>200</v>
      </c>
      <c r="E15" s="15">
        <v>21674683.425906841</v>
      </c>
      <c r="F15" s="15">
        <f t="shared" si="0"/>
        <v>108373.41712953421</v>
      </c>
    </row>
    <row r="16" spans="3:6" x14ac:dyDescent="0.2">
      <c r="C16" s="11" t="s">
        <v>17</v>
      </c>
      <c r="D16" s="19">
        <v>250</v>
      </c>
      <c r="E16" s="15">
        <v>16849727.167757481</v>
      </c>
      <c r="F16" s="15">
        <f t="shared" si="0"/>
        <v>67398.908671029931</v>
      </c>
    </row>
    <row r="17" spans="3:6" x14ac:dyDescent="0.2">
      <c r="C17" s="11" t="s">
        <v>18</v>
      </c>
      <c r="D17" s="19">
        <v>130</v>
      </c>
      <c r="E17" s="15">
        <v>3805139.4619479724</v>
      </c>
      <c r="F17" s="15">
        <f t="shared" si="0"/>
        <v>29270.303553445941</v>
      </c>
    </row>
    <row r="18" spans="3:6" x14ac:dyDescent="0.2">
      <c r="C18" s="11" t="s">
        <v>19</v>
      </c>
      <c r="D18" s="19">
        <v>650</v>
      </c>
      <c r="E18" s="15">
        <v>105232774.74267036</v>
      </c>
      <c r="F18" s="15">
        <f t="shared" si="0"/>
        <v>161896.57652718516</v>
      </c>
    </row>
    <row r="19" spans="3:6" x14ac:dyDescent="0.2">
      <c r="C19" s="11" t="s">
        <v>20</v>
      </c>
      <c r="D19" s="19">
        <v>856</v>
      </c>
      <c r="E19" s="15">
        <v>103890511.809643</v>
      </c>
      <c r="F19" s="15">
        <f t="shared" si="0"/>
        <v>121367.42033836799</v>
      </c>
    </row>
    <row r="20" spans="3:6" x14ac:dyDescent="0.2">
      <c r="C20" s="11" t="s">
        <v>21</v>
      </c>
      <c r="D20" s="19">
        <v>450</v>
      </c>
      <c r="E20" s="15">
        <v>57389529.201200463</v>
      </c>
      <c r="F20" s="15">
        <f t="shared" si="0"/>
        <v>127532.2871137788</v>
      </c>
    </row>
    <row r="21" spans="3:6" x14ac:dyDescent="0.2">
      <c r="C21" s="11" t="s">
        <v>22</v>
      </c>
      <c r="D21" s="19">
        <v>80</v>
      </c>
      <c r="E21" s="15">
        <v>5793781.938292399</v>
      </c>
      <c r="F21" s="15">
        <f t="shared" si="0"/>
        <v>72422.274228654991</v>
      </c>
    </row>
    <row r="22" spans="3:6" x14ac:dyDescent="0.2">
      <c r="C22" s="11" t="s">
        <v>23</v>
      </c>
      <c r="D22" s="19">
        <v>580</v>
      </c>
      <c r="E22" s="15">
        <v>58762570.534418806</v>
      </c>
      <c r="F22" s="15">
        <f t="shared" si="0"/>
        <v>101314.7767834807</v>
      </c>
    </row>
    <row r="23" spans="3:6" x14ac:dyDescent="0.2">
      <c r="C23" s="11" t="s">
        <v>24</v>
      </c>
      <c r="D23" s="19">
        <v>56</v>
      </c>
      <c r="E23" s="15">
        <v>4829222.1141096409</v>
      </c>
      <c r="F23" s="15">
        <f t="shared" si="0"/>
        <v>86236.109180529296</v>
      </c>
    </row>
    <row r="24" spans="3:6" x14ac:dyDescent="0.2">
      <c r="C24" s="11" t="s">
        <v>25</v>
      </c>
      <c r="D24" s="19">
        <v>26</v>
      </c>
      <c r="E24" s="15">
        <v>2537112.6595867253</v>
      </c>
      <c r="F24" s="15">
        <f t="shared" si="0"/>
        <v>97581.256137950972</v>
      </c>
    </row>
    <row r="25" spans="3:6" x14ac:dyDescent="0.2">
      <c r="C25" s="11" t="s">
        <v>26</v>
      </c>
      <c r="D25" s="19">
        <v>105</v>
      </c>
      <c r="E25" s="15">
        <v>8999949.2271621414</v>
      </c>
      <c r="F25" s="15">
        <f t="shared" si="0"/>
        <v>85713.802163448971</v>
      </c>
    </row>
    <row r="26" spans="3:6" x14ac:dyDescent="0.2">
      <c r="C26" s="11" t="s">
        <v>27</v>
      </c>
      <c r="D26" s="19">
        <v>25</v>
      </c>
      <c r="E26" s="15">
        <v>931906.15797934448</v>
      </c>
      <c r="F26" s="15">
        <f t="shared" si="0"/>
        <v>37276.246319173777</v>
      </c>
    </row>
    <row r="27" spans="3:6" x14ac:dyDescent="0.2">
      <c r="C27" s="11" t="s">
        <v>28</v>
      </c>
      <c r="D27" s="19">
        <v>35</v>
      </c>
      <c r="E27" s="15">
        <v>3285784.2630593712</v>
      </c>
      <c r="F27" s="15">
        <f t="shared" si="0"/>
        <v>93879.55037312489</v>
      </c>
    </row>
    <row r="28" spans="3:6" x14ac:dyDescent="0.2">
      <c r="C28" s="11" t="s">
        <v>29</v>
      </c>
      <c r="D28" s="19">
        <v>152</v>
      </c>
      <c r="E28" s="15">
        <v>7791990.2972711641</v>
      </c>
      <c r="F28" s="15">
        <f t="shared" si="0"/>
        <v>51263.094060994503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sheetPr>
  <dimension ref="C1:K28"/>
  <sheetViews>
    <sheetView workbookViewId="0">
      <selection activeCell="Q12" sqref="Q12"/>
    </sheetView>
  </sheetViews>
  <sheetFormatPr defaultRowHeight="12.75" x14ac:dyDescent="0.2"/>
  <cols>
    <col min="4" max="4" width="10.85546875" bestFit="1" customWidth="1"/>
    <col min="5" max="5" width="19.28515625" bestFit="1" customWidth="1"/>
    <col min="6" max="6" width="15.140625" bestFit="1" customWidth="1"/>
    <col min="7" max="7" width="14.85546875" bestFit="1" customWidth="1"/>
  </cols>
  <sheetData>
    <row r="1" spans="3:11" x14ac:dyDescent="0.2">
      <c r="J1" s="20">
        <f ca="1">RAND()</f>
        <v>0.59270332289653616</v>
      </c>
      <c r="K1" t="str">
        <f>"=rand()"</f>
        <v>=rand()</v>
      </c>
    </row>
    <row r="2" spans="3:11" x14ac:dyDescent="0.2">
      <c r="C2" s="8" t="s">
        <v>0</v>
      </c>
      <c r="D2" s="9" t="s">
        <v>4</v>
      </c>
      <c r="E2" s="10" t="s">
        <v>5</v>
      </c>
      <c r="F2" s="7" t="s">
        <v>6</v>
      </c>
      <c r="G2" s="7" t="s">
        <v>30</v>
      </c>
      <c r="J2" s="20">
        <f ca="1">RAND()*((-1)^INT(RAND()*10))</f>
        <v>-1.0057113573982868E-2</v>
      </c>
      <c r="K2" t="str">
        <f>"=rand()*((-1)^INT(rand()*10)"</f>
        <v>=rand()*((-1)^INT(rand()*10)</v>
      </c>
    </row>
    <row r="3" spans="3:11" x14ac:dyDescent="0.2">
      <c r="C3" s="11" t="s">
        <v>1</v>
      </c>
      <c r="D3" s="18">
        <v>200</v>
      </c>
      <c r="E3" s="15">
        <v>18727822.242285974</v>
      </c>
      <c r="F3" s="15">
        <f>E3/D3</f>
        <v>93639.111211429874</v>
      </c>
      <c r="G3" s="15">
        <f ca="1">RAND()*F3</f>
        <v>66338.66849450818</v>
      </c>
    </row>
    <row r="4" spans="3:11" x14ac:dyDescent="0.2">
      <c r="C4" s="11" t="s">
        <v>2</v>
      </c>
      <c r="D4" s="18">
        <v>300</v>
      </c>
      <c r="E4" s="15">
        <v>32159874.056343131</v>
      </c>
      <c r="F4" s="15">
        <f t="shared" ref="F4:F28" si="0">E4/D4</f>
        <v>107199.58018781044</v>
      </c>
      <c r="G4" s="15">
        <f t="shared" ref="G4:G28" ca="1" si="1">RAND()*F4</f>
        <v>100063.55758146952</v>
      </c>
    </row>
    <row r="5" spans="3:11" x14ac:dyDescent="0.2">
      <c r="C5" s="11" t="s">
        <v>3</v>
      </c>
      <c r="D5" s="19">
        <v>400</v>
      </c>
      <c r="E5" s="15">
        <v>35985064.03375572</v>
      </c>
      <c r="F5" s="15">
        <f t="shared" si="0"/>
        <v>89962.660084389296</v>
      </c>
      <c r="G5" s="15">
        <f t="shared" ca="1" si="1"/>
        <v>20327.522250909857</v>
      </c>
    </row>
    <row r="6" spans="3:11" x14ac:dyDescent="0.2">
      <c r="C6" s="11" t="s">
        <v>7</v>
      </c>
      <c r="D6" s="19">
        <v>500</v>
      </c>
      <c r="E6" s="15">
        <v>68484162.133855969</v>
      </c>
      <c r="F6" s="15">
        <f t="shared" si="0"/>
        <v>136968.32426771193</v>
      </c>
      <c r="G6" s="15">
        <f t="shared" ca="1" si="1"/>
        <v>74536.625172968925</v>
      </c>
    </row>
    <row r="7" spans="3:11" x14ac:dyDescent="0.2">
      <c r="C7" s="11" t="s">
        <v>8</v>
      </c>
      <c r="D7" s="19">
        <v>600</v>
      </c>
      <c r="E7" s="15">
        <v>36036327.332516596</v>
      </c>
      <c r="F7" s="15">
        <f t="shared" si="0"/>
        <v>60060.545554194323</v>
      </c>
      <c r="G7" s="15">
        <f t="shared" ca="1" si="1"/>
        <v>4129.9037841834679</v>
      </c>
    </row>
    <row r="8" spans="3:11" x14ac:dyDescent="0.2">
      <c r="C8" s="11" t="s">
        <v>9</v>
      </c>
      <c r="D8" s="19">
        <v>800</v>
      </c>
      <c r="E8" s="15">
        <v>143271571.23730153</v>
      </c>
      <c r="F8" s="15">
        <f t="shared" si="0"/>
        <v>179089.4640466269</v>
      </c>
      <c r="G8" s="15">
        <f t="shared" ca="1" si="1"/>
        <v>31400.252398310004</v>
      </c>
    </row>
    <row r="9" spans="3:11" x14ac:dyDescent="0.2">
      <c r="C9" s="11" t="s">
        <v>10</v>
      </c>
      <c r="D9" s="19">
        <v>100</v>
      </c>
      <c r="E9" s="15">
        <v>9242362.2195294127</v>
      </c>
      <c r="F9" s="15">
        <f t="shared" si="0"/>
        <v>92423.622195294127</v>
      </c>
      <c r="G9" s="15">
        <f t="shared" ca="1" si="1"/>
        <v>3269.9631278979082</v>
      </c>
    </row>
    <row r="10" spans="3:11" x14ac:dyDescent="0.2">
      <c r="C10" s="11" t="s">
        <v>11</v>
      </c>
      <c r="D10" s="19">
        <v>500</v>
      </c>
      <c r="E10" s="15">
        <v>63283626.458366945</v>
      </c>
      <c r="F10" s="15">
        <f t="shared" si="0"/>
        <v>126567.25291673389</v>
      </c>
      <c r="G10" s="15">
        <f t="shared" ca="1" si="1"/>
        <v>120663.36995668313</v>
      </c>
    </row>
    <row r="11" spans="3:11" x14ac:dyDescent="0.2">
      <c r="C11" s="11" t="s">
        <v>12</v>
      </c>
      <c r="D11" s="19">
        <v>300</v>
      </c>
      <c r="E11" s="15">
        <v>38598281.023076579</v>
      </c>
      <c r="F11" s="15">
        <f t="shared" si="0"/>
        <v>128660.93674358859</v>
      </c>
      <c r="G11" s="15">
        <f t="shared" ca="1" si="1"/>
        <v>124770.14662745858</v>
      </c>
    </row>
    <row r="12" spans="3:11" x14ac:dyDescent="0.2">
      <c r="C12" s="11" t="s">
        <v>13</v>
      </c>
      <c r="D12" s="19">
        <v>400</v>
      </c>
      <c r="E12" s="15">
        <v>26862998.932339177</v>
      </c>
      <c r="F12" s="15">
        <f t="shared" si="0"/>
        <v>67157.497330847938</v>
      </c>
      <c r="G12" s="15">
        <f t="shared" ca="1" si="1"/>
        <v>52799.419607867327</v>
      </c>
    </row>
    <row r="13" spans="3:11" x14ac:dyDescent="0.2">
      <c r="C13" s="11" t="s">
        <v>14</v>
      </c>
      <c r="D13" s="19">
        <v>600</v>
      </c>
      <c r="E13" s="15">
        <v>75398953.649308294</v>
      </c>
      <c r="F13" s="15">
        <f t="shared" si="0"/>
        <v>125664.92274884715</v>
      </c>
      <c r="G13" s="15">
        <f t="shared" ca="1" si="1"/>
        <v>44994.928554855964</v>
      </c>
    </row>
    <row r="14" spans="3:11" x14ac:dyDescent="0.2">
      <c r="C14" s="11" t="s">
        <v>15</v>
      </c>
      <c r="D14" s="19">
        <v>500</v>
      </c>
      <c r="E14" s="15">
        <v>34590724.814829521</v>
      </c>
      <c r="F14" s="15">
        <f t="shared" si="0"/>
        <v>69181.449629659037</v>
      </c>
      <c r="G14" s="15">
        <f t="shared" ca="1" si="1"/>
        <v>20591.224336846612</v>
      </c>
    </row>
    <row r="15" spans="3:11" x14ac:dyDescent="0.2">
      <c r="C15" s="11" t="s">
        <v>16</v>
      </c>
      <c r="D15" s="19">
        <v>200</v>
      </c>
      <c r="E15" s="15">
        <v>21674683.425906841</v>
      </c>
      <c r="F15" s="15">
        <f t="shared" si="0"/>
        <v>108373.41712953421</v>
      </c>
      <c r="G15" s="15">
        <f t="shared" ca="1" si="1"/>
        <v>74559.610627197457</v>
      </c>
    </row>
    <row r="16" spans="3:11" x14ac:dyDescent="0.2">
      <c r="C16" s="11" t="s">
        <v>17</v>
      </c>
      <c r="D16" s="19">
        <v>250</v>
      </c>
      <c r="E16" s="15">
        <v>16849727.167757481</v>
      </c>
      <c r="F16" s="15">
        <f t="shared" si="0"/>
        <v>67398.908671029931</v>
      </c>
      <c r="G16" s="15">
        <f t="shared" ca="1" si="1"/>
        <v>25515.323474692137</v>
      </c>
    </row>
    <row r="17" spans="3:7" x14ac:dyDescent="0.2">
      <c r="C17" s="11" t="s">
        <v>18</v>
      </c>
      <c r="D17" s="19">
        <v>130</v>
      </c>
      <c r="E17" s="15">
        <v>3805139.4619479724</v>
      </c>
      <c r="F17" s="15">
        <f t="shared" si="0"/>
        <v>29270.303553445941</v>
      </c>
      <c r="G17" s="15">
        <f t="shared" ca="1" si="1"/>
        <v>18807.450417465083</v>
      </c>
    </row>
    <row r="18" spans="3:7" x14ac:dyDescent="0.2">
      <c r="C18" s="11" t="s">
        <v>19</v>
      </c>
      <c r="D18" s="19">
        <v>650</v>
      </c>
      <c r="E18" s="15">
        <v>105232774.74267036</v>
      </c>
      <c r="F18" s="15">
        <f t="shared" si="0"/>
        <v>161896.57652718516</v>
      </c>
      <c r="G18" s="15">
        <f t="shared" ca="1" si="1"/>
        <v>6347.273719520369</v>
      </c>
    </row>
    <row r="19" spans="3:7" x14ac:dyDescent="0.2">
      <c r="C19" s="11" t="s">
        <v>20</v>
      </c>
      <c r="D19" s="19">
        <v>856</v>
      </c>
      <c r="E19" s="15">
        <v>103890511.809643</v>
      </c>
      <c r="F19" s="15">
        <f t="shared" si="0"/>
        <v>121367.42033836799</v>
      </c>
      <c r="G19" s="15">
        <f t="shared" ca="1" si="1"/>
        <v>13930.210101900191</v>
      </c>
    </row>
    <row r="20" spans="3:7" x14ac:dyDescent="0.2">
      <c r="C20" s="11" t="s">
        <v>21</v>
      </c>
      <c r="D20" s="19">
        <v>450</v>
      </c>
      <c r="E20" s="15">
        <v>57389529.201200463</v>
      </c>
      <c r="F20" s="15">
        <f t="shared" si="0"/>
        <v>127532.2871137788</v>
      </c>
      <c r="G20" s="15">
        <f t="shared" ca="1" si="1"/>
        <v>115894.40546608466</v>
      </c>
    </row>
    <row r="21" spans="3:7" x14ac:dyDescent="0.2">
      <c r="C21" s="11" t="s">
        <v>22</v>
      </c>
      <c r="D21" s="19">
        <v>80</v>
      </c>
      <c r="E21" s="15">
        <v>5793781.938292399</v>
      </c>
      <c r="F21" s="15">
        <f t="shared" si="0"/>
        <v>72422.274228654991</v>
      </c>
      <c r="G21" s="15">
        <f t="shared" ca="1" si="1"/>
        <v>62540.701745705293</v>
      </c>
    </row>
    <row r="22" spans="3:7" x14ac:dyDescent="0.2">
      <c r="C22" s="11" t="s">
        <v>23</v>
      </c>
      <c r="D22" s="19">
        <v>580</v>
      </c>
      <c r="E22" s="15">
        <v>58762570.534418806</v>
      </c>
      <c r="F22" s="15">
        <f t="shared" si="0"/>
        <v>101314.7767834807</v>
      </c>
      <c r="G22" s="15">
        <f t="shared" ca="1" si="1"/>
        <v>6357.618585118239</v>
      </c>
    </row>
    <row r="23" spans="3:7" x14ac:dyDescent="0.2">
      <c r="C23" s="11" t="s">
        <v>24</v>
      </c>
      <c r="D23" s="19">
        <v>56</v>
      </c>
      <c r="E23" s="15">
        <v>4829222.1141096409</v>
      </c>
      <c r="F23" s="15">
        <f t="shared" si="0"/>
        <v>86236.109180529296</v>
      </c>
      <c r="G23" s="15">
        <f t="shared" ca="1" si="1"/>
        <v>59581.977589720052</v>
      </c>
    </row>
    <row r="24" spans="3:7" x14ac:dyDescent="0.2">
      <c r="C24" s="11" t="s">
        <v>25</v>
      </c>
      <c r="D24" s="19">
        <v>26</v>
      </c>
      <c r="E24" s="15">
        <v>2537112.6595867253</v>
      </c>
      <c r="F24" s="15">
        <f t="shared" si="0"/>
        <v>97581.256137950972</v>
      </c>
      <c r="G24" s="15">
        <f t="shared" ca="1" si="1"/>
        <v>28749.180603307283</v>
      </c>
    </row>
    <row r="25" spans="3:7" x14ac:dyDescent="0.2">
      <c r="C25" s="11" t="s">
        <v>26</v>
      </c>
      <c r="D25" s="19">
        <v>105</v>
      </c>
      <c r="E25" s="15">
        <v>8999949.2271621414</v>
      </c>
      <c r="F25" s="15">
        <f t="shared" si="0"/>
        <v>85713.802163448971</v>
      </c>
      <c r="G25" s="15">
        <f t="shared" ca="1" si="1"/>
        <v>24823.971333299862</v>
      </c>
    </row>
    <row r="26" spans="3:7" x14ac:dyDescent="0.2">
      <c r="C26" s="11" t="s">
        <v>27</v>
      </c>
      <c r="D26" s="19">
        <v>25</v>
      </c>
      <c r="E26" s="15">
        <v>931906.15797934448</v>
      </c>
      <c r="F26" s="15">
        <f t="shared" si="0"/>
        <v>37276.246319173777</v>
      </c>
      <c r="G26" s="15">
        <f t="shared" ca="1" si="1"/>
        <v>34026.724766438652</v>
      </c>
    </row>
    <row r="27" spans="3:7" x14ac:dyDescent="0.2">
      <c r="C27" s="11" t="s">
        <v>28</v>
      </c>
      <c r="D27" s="19">
        <v>35</v>
      </c>
      <c r="E27" s="15">
        <v>3285784.2630593712</v>
      </c>
      <c r="F27" s="15">
        <f t="shared" si="0"/>
        <v>93879.55037312489</v>
      </c>
      <c r="G27" s="15">
        <f t="shared" ca="1" si="1"/>
        <v>50068.120060599838</v>
      </c>
    </row>
    <row r="28" spans="3:7" x14ac:dyDescent="0.2">
      <c r="C28" s="11" t="s">
        <v>29</v>
      </c>
      <c r="D28" s="19">
        <v>152</v>
      </c>
      <c r="E28" s="15">
        <v>7791990.2972711641</v>
      </c>
      <c r="F28" s="15">
        <f t="shared" si="0"/>
        <v>51263.094060994503</v>
      </c>
      <c r="G28" s="15">
        <f t="shared" ca="1" si="1"/>
        <v>16363.18471825706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C2:I29"/>
  <sheetViews>
    <sheetView topLeftCell="A7" workbookViewId="0">
      <selection activeCell="R15" sqref="R15"/>
    </sheetView>
  </sheetViews>
  <sheetFormatPr defaultRowHeight="12.75" x14ac:dyDescent="0.2"/>
  <cols>
    <col min="4" max="4" width="10.85546875" bestFit="1" customWidth="1"/>
    <col min="5" max="5" width="19.28515625" bestFit="1" customWidth="1"/>
    <col min="6" max="6" width="15.140625" bestFit="1" customWidth="1"/>
    <col min="7" max="7" width="23" bestFit="1" customWidth="1"/>
  </cols>
  <sheetData>
    <row r="2" spans="3:7" x14ac:dyDescent="0.2">
      <c r="C2" s="8" t="s">
        <v>0</v>
      </c>
      <c r="D2" s="9" t="s">
        <v>4</v>
      </c>
      <c r="E2" s="10" t="s">
        <v>5</v>
      </c>
      <c r="F2" s="7" t="s">
        <v>6</v>
      </c>
      <c r="G2" s="7" t="s">
        <v>33</v>
      </c>
    </row>
    <row r="3" spans="3:7" x14ac:dyDescent="0.2">
      <c r="C3" s="11" t="s">
        <v>1</v>
      </c>
      <c r="D3" s="18">
        <v>200</v>
      </c>
      <c r="E3" s="15">
        <v>18727822.242285974</v>
      </c>
      <c r="F3" s="15">
        <f>E3/D3</f>
        <v>93639.111211429874</v>
      </c>
      <c r="G3" s="15">
        <f ca="1">RAND()*((-1)^INT(RAND()*10)*F3)</f>
        <v>-19812.815040041725</v>
      </c>
    </row>
    <row r="4" spans="3:7" x14ac:dyDescent="0.2">
      <c r="C4" s="11" t="s">
        <v>2</v>
      </c>
      <c r="D4" s="18">
        <v>300</v>
      </c>
      <c r="E4" s="15">
        <v>32159874.056343131</v>
      </c>
      <c r="F4" s="15">
        <f t="shared" ref="F4:F28" si="0">E4/D4</f>
        <v>107199.58018781044</v>
      </c>
      <c r="G4" s="15">
        <f t="shared" ref="G4:G28" ca="1" si="1">RAND()*((-1)^INT(RAND()*10)*F4)</f>
        <v>87543.739239501505</v>
      </c>
    </row>
    <row r="5" spans="3:7" x14ac:dyDescent="0.2">
      <c r="C5" s="11" t="s">
        <v>3</v>
      </c>
      <c r="D5" s="19">
        <v>400</v>
      </c>
      <c r="E5" s="15">
        <v>35985064.03375572</v>
      </c>
      <c r="F5" s="15">
        <f t="shared" si="0"/>
        <v>89962.660084389296</v>
      </c>
      <c r="G5" s="15">
        <f t="shared" ca="1" si="1"/>
        <v>49717.243065728842</v>
      </c>
    </row>
    <row r="6" spans="3:7" x14ac:dyDescent="0.2">
      <c r="C6" s="11" t="s">
        <v>7</v>
      </c>
      <c r="D6" s="19">
        <v>500</v>
      </c>
      <c r="E6" s="15">
        <v>68484162.133855969</v>
      </c>
      <c r="F6" s="15">
        <f t="shared" si="0"/>
        <v>136968.32426771193</v>
      </c>
      <c r="G6" s="15">
        <f t="shared" ca="1" si="1"/>
        <v>-2148.2986040210139</v>
      </c>
    </row>
    <row r="7" spans="3:7" x14ac:dyDescent="0.2">
      <c r="C7" s="11" t="s">
        <v>8</v>
      </c>
      <c r="D7" s="19">
        <v>600</v>
      </c>
      <c r="E7" s="15">
        <v>36036327.332516596</v>
      </c>
      <c r="F7" s="15">
        <f t="shared" si="0"/>
        <v>60060.545554194323</v>
      </c>
      <c r="G7" s="15">
        <f t="shared" ca="1" si="1"/>
        <v>-22361.162663114643</v>
      </c>
    </row>
    <row r="8" spans="3:7" x14ac:dyDescent="0.2">
      <c r="C8" s="11" t="s">
        <v>9</v>
      </c>
      <c r="D8" s="19">
        <v>800</v>
      </c>
      <c r="E8" s="15">
        <v>143271571.23730153</v>
      </c>
      <c r="F8" s="15">
        <f t="shared" si="0"/>
        <v>179089.4640466269</v>
      </c>
      <c r="G8" s="15">
        <f t="shared" ca="1" si="1"/>
        <v>137877.56873576014</v>
      </c>
    </row>
    <row r="9" spans="3:7" x14ac:dyDescent="0.2">
      <c r="C9" s="11" t="s">
        <v>10</v>
      </c>
      <c r="D9" s="19">
        <v>100</v>
      </c>
      <c r="E9" s="15">
        <v>9242362.2195294127</v>
      </c>
      <c r="F9" s="15">
        <f t="shared" si="0"/>
        <v>92423.622195294127</v>
      </c>
      <c r="G9" s="15">
        <f t="shared" ca="1" si="1"/>
        <v>-91940.970686173212</v>
      </c>
    </row>
    <row r="10" spans="3:7" x14ac:dyDescent="0.2">
      <c r="C10" s="11" t="s">
        <v>11</v>
      </c>
      <c r="D10" s="19">
        <v>500</v>
      </c>
      <c r="E10" s="15">
        <v>63283626.458366945</v>
      </c>
      <c r="F10" s="15">
        <f t="shared" si="0"/>
        <v>126567.25291673389</v>
      </c>
      <c r="G10" s="15">
        <f t="shared" ca="1" si="1"/>
        <v>88193.976980936772</v>
      </c>
    </row>
    <row r="11" spans="3:7" x14ac:dyDescent="0.2">
      <c r="C11" s="11" t="s">
        <v>12</v>
      </c>
      <c r="D11" s="19">
        <v>300</v>
      </c>
      <c r="E11" s="15">
        <v>38598281.023076579</v>
      </c>
      <c r="F11" s="15">
        <f t="shared" si="0"/>
        <v>128660.93674358859</v>
      </c>
      <c r="G11" s="15">
        <f t="shared" ca="1" si="1"/>
        <v>68478.677941827904</v>
      </c>
    </row>
    <row r="12" spans="3:7" x14ac:dyDescent="0.2">
      <c r="C12" s="11" t="s">
        <v>13</v>
      </c>
      <c r="D12" s="19">
        <v>400</v>
      </c>
      <c r="E12" s="15">
        <v>26862998.932339177</v>
      </c>
      <c r="F12" s="15">
        <f t="shared" si="0"/>
        <v>67157.497330847938</v>
      </c>
      <c r="G12" s="15">
        <f t="shared" ca="1" si="1"/>
        <v>-54104.086377984131</v>
      </c>
    </row>
    <row r="13" spans="3:7" x14ac:dyDescent="0.2">
      <c r="C13" s="11" t="s">
        <v>14</v>
      </c>
      <c r="D13" s="19">
        <v>600</v>
      </c>
      <c r="E13" s="15">
        <v>75398953.649308294</v>
      </c>
      <c r="F13" s="15">
        <f t="shared" si="0"/>
        <v>125664.92274884715</v>
      </c>
      <c r="G13" s="15">
        <f t="shared" ca="1" si="1"/>
        <v>56436.164047272461</v>
      </c>
    </row>
    <row r="14" spans="3:7" x14ac:dyDescent="0.2">
      <c r="C14" s="11" t="s">
        <v>15</v>
      </c>
      <c r="D14" s="19">
        <v>500</v>
      </c>
      <c r="E14" s="15">
        <v>34590724.814829521</v>
      </c>
      <c r="F14" s="15">
        <f t="shared" si="0"/>
        <v>69181.449629659037</v>
      </c>
      <c r="G14" s="15">
        <f t="shared" ca="1" si="1"/>
        <v>-49201.549188581499</v>
      </c>
    </row>
    <row r="15" spans="3:7" x14ac:dyDescent="0.2">
      <c r="C15" s="11" t="s">
        <v>16</v>
      </c>
      <c r="D15" s="19">
        <v>200</v>
      </c>
      <c r="E15" s="15">
        <v>21674683.425906841</v>
      </c>
      <c r="F15" s="15">
        <f t="shared" si="0"/>
        <v>108373.41712953421</v>
      </c>
      <c r="G15" s="15">
        <f t="shared" ca="1" si="1"/>
        <v>30190.265749250968</v>
      </c>
    </row>
    <row r="16" spans="3:7" x14ac:dyDescent="0.2">
      <c r="C16" s="11" t="s">
        <v>17</v>
      </c>
      <c r="D16" s="19">
        <v>250</v>
      </c>
      <c r="E16" s="15">
        <v>16849727.167757481</v>
      </c>
      <c r="F16" s="15">
        <f t="shared" si="0"/>
        <v>67398.908671029931</v>
      </c>
      <c r="G16" s="15">
        <f t="shared" ca="1" si="1"/>
        <v>-12731.334761542344</v>
      </c>
    </row>
    <row r="17" spans="3:9" x14ac:dyDescent="0.2">
      <c r="C17" s="11" t="s">
        <v>18</v>
      </c>
      <c r="D17" s="19">
        <v>130</v>
      </c>
      <c r="E17" s="15">
        <v>3805139.4619479724</v>
      </c>
      <c r="F17" s="15">
        <f t="shared" si="0"/>
        <v>29270.303553445941</v>
      </c>
      <c r="G17" s="15">
        <f t="shared" ca="1" si="1"/>
        <v>26132.024072853957</v>
      </c>
    </row>
    <row r="18" spans="3:9" x14ac:dyDescent="0.2">
      <c r="C18" s="11" t="s">
        <v>19</v>
      </c>
      <c r="D18" s="19">
        <v>650</v>
      </c>
      <c r="E18" s="15">
        <v>105232774.74267036</v>
      </c>
      <c r="F18" s="15">
        <f t="shared" si="0"/>
        <v>161896.57652718516</v>
      </c>
      <c r="G18" s="15">
        <f t="shared" ca="1" si="1"/>
        <v>-135973.38304103856</v>
      </c>
    </row>
    <row r="19" spans="3:9" x14ac:dyDescent="0.2">
      <c r="C19" s="11" t="s">
        <v>20</v>
      </c>
      <c r="D19" s="19">
        <v>856</v>
      </c>
      <c r="E19" s="15">
        <v>103890511.809643</v>
      </c>
      <c r="F19" s="15">
        <f t="shared" si="0"/>
        <v>121367.42033836799</v>
      </c>
      <c r="G19" s="15">
        <f t="shared" ca="1" si="1"/>
        <v>4908.8225774807188</v>
      </c>
    </row>
    <row r="20" spans="3:9" x14ac:dyDescent="0.2">
      <c r="C20" s="11" t="s">
        <v>21</v>
      </c>
      <c r="D20" s="19">
        <v>450</v>
      </c>
      <c r="E20" s="15">
        <v>57389529.201200463</v>
      </c>
      <c r="F20" s="15">
        <f t="shared" si="0"/>
        <v>127532.2871137788</v>
      </c>
      <c r="G20" s="15">
        <f t="shared" ca="1" si="1"/>
        <v>54839.617999338967</v>
      </c>
    </row>
    <row r="21" spans="3:9" x14ac:dyDescent="0.2">
      <c r="C21" s="11" t="s">
        <v>22</v>
      </c>
      <c r="D21" s="19">
        <v>80</v>
      </c>
      <c r="E21" s="15">
        <v>5793781.938292399</v>
      </c>
      <c r="F21" s="15">
        <f t="shared" si="0"/>
        <v>72422.274228654991</v>
      </c>
      <c r="G21" s="15">
        <f t="shared" ca="1" si="1"/>
        <v>-69455.953830202343</v>
      </c>
    </row>
    <row r="22" spans="3:9" x14ac:dyDescent="0.2">
      <c r="C22" s="11" t="s">
        <v>23</v>
      </c>
      <c r="D22" s="19">
        <v>580</v>
      </c>
      <c r="E22" s="15">
        <v>58762570.534418806</v>
      </c>
      <c r="F22" s="15">
        <f t="shared" si="0"/>
        <v>101314.7767834807</v>
      </c>
      <c r="G22" s="15">
        <f t="shared" ca="1" si="1"/>
        <v>77033.543744437105</v>
      </c>
    </row>
    <row r="23" spans="3:9" x14ac:dyDescent="0.2">
      <c r="C23" s="11" t="s">
        <v>24</v>
      </c>
      <c r="D23" s="19">
        <v>56</v>
      </c>
      <c r="E23" s="15">
        <v>4829222.1141096409</v>
      </c>
      <c r="F23" s="15">
        <f t="shared" si="0"/>
        <v>86236.109180529296</v>
      </c>
      <c r="G23" s="15">
        <f t="shared" ca="1" si="1"/>
        <v>23189.570925994947</v>
      </c>
    </row>
    <row r="24" spans="3:9" x14ac:dyDescent="0.2">
      <c r="C24" s="11" t="s">
        <v>25</v>
      </c>
      <c r="D24" s="19">
        <v>26</v>
      </c>
      <c r="E24" s="15">
        <v>2537112.6595867253</v>
      </c>
      <c r="F24" s="15">
        <f t="shared" si="0"/>
        <v>97581.256137950972</v>
      </c>
      <c r="G24" s="15">
        <f t="shared" ca="1" si="1"/>
        <v>34696.910325223791</v>
      </c>
    </row>
    <row r="25" spans="3:9" x14ac:dyDescent="0.2">
      <c r="C25" s="11" t="s">
        <v>26</v>
      </c>
      <c r="D25" s="19">
        <v>105</v>
      </c>
      <c r="E25" s="15">
        <v>8999949.2271621414</v>
      </c>
      <c r="F25" s="15">
        <f t="shared" si="0"/>
        <v>85713.802163448971</v>
      </c>
      <c r="G25" s="15">
        <f t="shared" ca="1" si="1"/>
        <v>22960.101526289163</v>
      </c>
    </row>
    <row r="26" spans="3:9" x14ac:dyDescent="0.2">
      <c r="C26" s="11" t="s">
        <v>27</v>
      </c>
      <c r="D26" s="19">
        <v>25</v>
      </c>
      <c r="E26" s="15">
        <v>931906.15797934448</v>
      </c>
      <c r="F26" s="15">
        <f t="shared" si="0"/>
        <v>37276.246319173777</v>
      </c>
      <c r="G26" s="15">
        <f t="shared" ca="1" si="1"/>
        <v>8578.8908782083236</v>
      </c>
    </row>
    <row r="27" spans="3:9" x14ac:dyDescent="0.2">
      <c r="C27" s="11" t="s">
        <v>28</v>
      </c>
      <c r="D27" s="19">
        <v>35</v>
      </c>
      <c r="E27" s="15">
        <v>3285784.2630593712</v>
      </c>
      <c r="F27" s="15">
        <f t="shared" si="0"/>
        <v>93879.55037312489</v>
      </c>
      <c r="G27" s="15">
        <f t="shared" ca="1" si="1"/>
        <v>-34680.558096086279</v>
      </c>
    </row>
    <row r="28" spans="3:9" x14ac:dyDescent="0.2">
      <c r="C28" s="11" t="s">
        <v>29</v>
      </c>
      <c r="D28" s="19">
        <v>152</v>
      </c>
      <c r="E28" s="15">
        <v>7791990.2972711641</v>
      </c>
      <c r="F28" s="15">
        <f t="shared" si="0"/>
        <v>51263.094060994503</v>
      </c>
      <c r="G28" s="15">
        <f t="shared" ca="1" si="1"/>
        <v>14653.203208168308</v>
      </c>
    </row>
    <row r="29" spans="3:9" x14ac:dyDescent="0.2">
      <c r="I29" s="21"/>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sheetPr>
  <dimension ref="C2:I29"/>
  <sheetViews>
    <sheetView workbookViewId="0">
      <selection activeCell="N31" sqref="N31"/>
    </sheetView>
  </sheetViews>
  <sheetFormatPr defaultRowHeight="12.75" x14ac:dyDescent="0.2"/>
  <cols>
    <col min="4" max="4" width="10.85546875" bestFit="1" customWidth="1"/>
    <col min="5" max="5" width="19.28515625" bestFit="1" customWidth="1"/>
    <col min="6" max="6" width="15.140625" bestFit="1" customWidth="1"/>
    <col min="7" max="7" width="23" bestFit="1" customWidth="1"/>
    <col min="8" max="8" width="16.42578125" bestFit="1" customWidth="1"/>
    <col min="9" max="9" width="16.85546875" bestFit="1" customWidth="1"/>
  </cols>
  <sheetData>
    <row r="2" spans="3:9" x14ac:dyDescent="0.2">
      <c r="C2" s="8" t="s">
        <v>0</v>
      </c>
      <c r="D2" s="9" t="s">
        <v>4</v>
      </c>
      <c r="E2" s="10" t="s">
        <v>5</v>
      </c>
      <c r="F2" s="7" t="s">
        <v>6</v>
      </c>
      <c r="G2" s="7" t="s">
        <v>33</v>
      </c>
      <c r="H2" s="7" t="s">
        <v>31</v>
      </c>
      <c r="I2" s="7" t="s">
        <v>32</v>
      </c>
    </row>
    <row r="3" spans="3:9" x14ac:dyDescent="0.2">
      <c r="C3" s="11" t="s">
        <v>1</v>
      </c>
      <c r="D3" s="18">
        <v>200</v>
      </c>
      <c r="E3" s="15">
        <v>18727822.242285974</v>
      </c>
      <c r="F3" s="15">
        <f>E3/D3</f>
        <v>93639.111211429874</v>
      </c>
      <c r="G3" s="15">
        <f ca="1">RAND()*((-1)^INT(RAND()*10)*F3)</f>
        <v>42473.256476378258</v>
      </c>
      <c r="H3">
        <f ca="1">G3*D3</f>
        <v>8494651.2952756509</v>
      </c>
      <c r="I3" s="16">
        <f ca="1">H3+E3</f>
        <v>27222473.537561625</v>
      </c>
    </row>
    <row r="4" spans="3:9" x14ac:dyDescent="0.2">
      <c r="C4" s="11" t="s">
        <v>2</v>
      </c>
      <c r="D4" s="18">
        <v>300</v>
      </c>
      <c r="E4" s="15">
        <v>32159874.056343131</v>
      </c>
      <c r="F4" s="15">
        <f t="shared" ref="F4:F28" si="0">E4/D4</f>
        <v>107199.58018781044</v>
      </c>
      <c r="G4" s="15">
        <f t="shared" ref="G4:G28" ca="1" si="1">RAND()*((-1)^INT(RAND()*10)*F4)</f>
        <v>68992.601876098124</v>
      </c>
      <c r="H4">
        <f t="shared" ref="H4:H28" ca="1" si="2">G4*D4</f>
        <v>20697780.562829439</v>
      </c>
      <c r="I4" s="16">
        <f t="shared" ref="I4:I28" ca="1" si="3">H4+E4</f>
        <v>52857654.619172573</v>
      </c>
    </row>
    <row r="5" spans="3:9" x14ac:dyDescent="0.2">
      <c r="C5" s="11" t="s">
        <v>3</v>
      </c>
      <c r="D5" s="19">
        <v>400</v>
      </c>
      <c r="E5" s="15">
        <v>35985064.03375572</v>
      </c>
      <c r="F5" s="15">
        <f t="shared" si="0"/>
        <v>89962.660084389296</v>
      </c>
      <c r="G5" s="15">
        <f t="shared" ca="1" si="1"/>
        <v>11337.133220134296</v>
      </c>
      <c r="H5">
        <f t="shared" ca="1" si="2"/>
        <v>4534853.2880537184</v>
      </c>
      <c r="I5" s="16">
        <f t="shared" ca="1" si="3"/>
        <v>40519917.321809441</v>
      </c>
    </row>
    <row r="6" spans="3:9" x14ac:dyDescent="0.2">
      <c r="C6" s="11" t="s">
        <v>7</v>
      </c>
      <c r="D6" s="19">
        <v>500</v>
      </c>
      <c r="E6" s="15">
        <v>68484162.133855969</v>
      </c>
      <c r="F6" s="15">
        <f t="shared" si="0"/>
        <v>136968.32426771193</v>
      </c>
      <c r="G6" s="15">
        <f t="shared" ca="1" si="1"/>
        <v>41233.350922303609</v>
      </c>
      <c r="H6">
        <f t="shared" ca="1" si="2"/>
        <v>20616675.461151805</v>
      </c>
      <c r="I6" s="16">
        <f t="shared" ca="1" si="3"/>
        <v>89100837.595007777</v>
      </c>
    </row>
    <row r="7" spans="3:9" x14ac:dyDescent="0.2">
      <c r="C7" s="11" t="s">
        <v>8</v>
      </c>
      <c r="D7" s="19">
        <v>600</v>
      </c>
      <c r="E7" s="15">
        <v>36036327.332516596</v>
      </c>
      <c r="F7" s="15">
        <f t="shared" si="0"/>
        <v>60060.545554194323</v>
      </c>
      <c r="G7" s="15">
        <f t="shared" ca="1" si="1"/>
        <v>37809.069499764395</v>
      </c>
      <c r="H7">
        <f t="shared" ca="1" si="2"/>
        <v>22685441.699858636</v>
      </c>
      <c r="I7" s="16">
        <f t="shared" ca="1" si="3"/>
        <v>58721769.032375231</v>
      </c>
    </row>
    <row r="8" spans="3:9" x14ac:dyDescent="0.2">
      <c r="C8" s="11" t="s">
        <v>9</v>
      </c>
      <c r="D8" s="19">
        <v>800</v>
      </c>
      <c r="E8" s="15">
        <v>143271571.23730153</v>
      </c>
      <c r="F8" s="15">
        <f t="shared" si="0"/>
        <v>179089.4640466269</v>
      </c>
      <c r="G8" s="15">
        <f t="shared" ca="1" si="1"/>
        <v>-39425.928056474673</v>
      </c>
      <c r="H8">
        <f t="shared" ca="1" si="2"/>
        <v>-31540742.445179738</v>
      </c>
      <c r="I8" s="16">
        <f t="shared" ca="1" si="3"/>
        <v>111730828.7921218</v>
      </c>
    </row>
    <row r="9" spans="3:9" x14ac:dyDescent="0.2">
      <c r="C9" s="11" t="s">
        <v>10</v>
      </c>
      <c r="D9" s="19">
        <v>100</v>
      </c>
      <c r="E9" s="15">
        <v>9242362.2195294127</v>
      </c>
      <c r="F9" s="15">
        <f t="shared" si="0"/>
        <v>92423.622195294127</v>
      </c>
      <c r="G9" s="15">
        <f t="shared" ca="1" si="1"/>
        <v>78668.026152766266</v>
      </c>
      <c r="H9">
        <f t="shared" ca="1" si="2"/>
        <v>7866802.6152766263</v>
      </c>
      <c r="I9" s="16">
        <f t="shared" ca="1" si="3"/>
        <v>17109164.83480604</v>
      </c>
    </row>
    <row r="10" spans="3:9" x14ac:dyDescent="0.2">
      <c r="C10" s="11" t="s">
        <v>11</v>
      </c>
      <c r="D10" s="19">
        <v>500</v>
      </c>
      <c r="E10" s="15">
        <v>63283626.458366945</v>
      </c>
      <c r="F10" s="15">
        <f t="shared" si="0"/>
        <v>126567.25291673389</v>
      </c>
      <c r="G10" s="15">
        <f t="shared" ca="1" si="1"/>
        <v>-68967.23330894603</v>
      </c>
      <c r="H10">
        <f t="shared" ca="1" si="2"/>
        <v>-34483616.654473014</v>
      </c>
      <c r="I10" s="16">
        <f t="shared" ca="1" si="3"/>
        <v>28800009.803893931</v>
      </c>
    </row>
    <row r="11" spans="3:9" x14ac:dyDescent="0.2">
      <c r="C11" s="11" t="s">
        <v>12</v>
      </c>
      <c r="D11" s="19">
        <v>300</v>
      </c>
      <c r="E11" s="15">
        <v>38598281.023076579</v>
      </c>
      <c r="F11" s="15">
        <f t="shared" si="0"/>
        <v>128660.93674358859</v>
      </c>
      <c r="G11" s="15">
        <f t="shared" ca="1" si="1"/>
        <v>-57122.400345212685</v>
      </c>
      <c r="H11">
        <f t="shared" ca="1" si="2"/>
        <v>-17136720.103563804</v>
      </c>
      <c r="I11" s="16">
        <f t="shared" ca="1" si="3"/>
        <v>21461560.919512775</v>
      </c>
    </row>
    <row r="12" spans="3:9" x14ac:dyDescent="0.2">
      <c r="C12" s="11" t="s">
        <v>13</v>
      </c>
      <c r="D12" s="19">
        <v>400</v>
      </c>
      <c r="E12" s="15">
        <v>26862998.932339177</v>
      </c>
      <c r="F12" s="15">
        <f t="shared" si="0"/>
        <v>67157.497330847938</v>
      </c>
      <c r="G12" s="15">
        <f t="shared" ca="1" si="1"/>
        <v>-5872.0565686848495</v>
      </c>
      <c r="H12">
        <f t="shared" ca="1" si="2"/>
        <v>-2348822.6274739397</v>
      </c>
      <c r="I12" s="16">
        <f t="shared" ca="1" si="3"/>
        <v>24514176.304865237</v>
      </c>
    </row>
    <row r="13" spans="3:9" x14ac:dyDescent="0.2">
      <c r="C13" s="11" t="s">
        <v>14</v>
      </c>
      <c r="D13" s="19">
        <v>600</v>
      </c>
      <c r="E13" s="15">
        <v>75398953.649308294</v>
      </c>
      <c r="F13" s="15">
        <f t="shared" si="0"/>
        <v>125664.92274884715</v>
      </c>
      <c r="G13" s="15">
        <f t="shared" ca="1" si="1"/>
        <v>-24048.882377257079</v>
      </c>
      <c r="H13">
        <f t="shared" ca="1" si="2"/>
        <v>-14429329.426354248</v>
      </c>
      <c r="I13" s="16">
        <f t="shared" ca="1" si="3"/>
        <v>60969624.22295405</v>
      </c>
    </row>
    <row r="14" spans="3:9" x14ac:dyDescent="0.2">
      <c r="C14" s="11" t="s">
        <v>15</v>
      </c>
      <c r="D14" s="19">
        <v>500</v>
      </c>
      <c r="E14" s="15">
        <v>34590724.814829521</v>
      </c>
      <c r="F14" s="15">
        <f t="shared" si="0"/>
        <v>69181.449629659037</v>
      </c>
      <c r="G14" s="15">
        <f t="shared" ca="1" si="1"/>
        <v>-308.14693451721456</v>
      </c>
      <c r="H14">
        <f t="shared" ca="1" si="2"/>
        <v>-154073.46725860727</v>
      </c>
      <c r="I14" s="16">
        <f t="shared" ca="1" si="3"/>
        <v>34436651.347570911</v>
      </c>
    </row>
    <row r="15" spans="3:9" x14ac:dyDescent="0.2">
      <c r="C15" s="11" t="s">
        <v>16</v>
      </c>
      <c r="D15" s="19">
        <v>200</v>
      </c>
      <c r="E15" s="15">
        <v>21674683.425906841</v>
      </c>
      <c r="F15" s="15">
        <f t="shared" si="0"/>
        <v>108373.41712953421</v>
      </c>
      <c r="G15" s="15">
        <f t="shared" ca="1" si="1"/>
        <v>-100917.35571751307</v>
      </c>
      <c r="H15">
        <f t="shared" ca="1" si="2"/>
        <v>-20183471.143502615</v>
      </c>
      <c r="I15" s="16">
        <f t="shared" ca="1" si="3"/>
        <v>1491212.2824042253</v>
      </c>
    </row>
    <row r="16" spans="3:9" x14ac:dyDescent="0.2">
      <c r="C16" s="11" t="s">
        <v>17</v>
      </c>
      <c r="D16" s="19">
        <v>250</v>
      </c>
      <c r="E16" s="15">
        <v>16849727.167757481</v>
      </c>
      <c r="F16" s="15">
        <f t="shared" si="0"/>
        <v>67398.908671029931</v>
      </c>
      <c r="G16" s="15">
        <f t="shared" ca="1" si="1"/>
        <v>-29709.94901163091</v>
      </c>
      <c r="H16">
        <f t="shared" ca="1" si="2"/>
        <v>-7427487.2529077278</v>
      </c>
      <c r="I16" s="16">
        <f t="shared" ca="1" si="3"/>
        <v>9422239.9148497544</v>
      </c>
    </row>
    <row r="17" spans="3:9" x14ac:dyDescent="0.2">
      <c r="C17" s="11" t="s">
        <v>18</v>
      </c>
      <c r="D17" s="19">
        <v>130</v>
      </c>
      <c r="E17" s="15">
        <v>3805139.4619479724</v>
      </c>
      <c r="F17" s="15">
        <f t="shared" si="0"/>
        <v>29270.303553445941</v>
      </c>
      <c r="G17" s="15">
        <f t="shared" ca="1" si="1"/>
        <v>25116.729718566381</v>
      </c>
      <c r="H17">
        <f t="shared" ca="1" si="2"/>
        <v>3265174.8634136296</v>
      </c>
      <c r="I17" s="16">
        <f t="shared" ca="1" si="3"/>
        <v>7070314.325361602</v>
      </c>
    </row>
    <row r="18" spans="3:9" x14ac:dyDescent="0.2">
      <c r="C18" s="11" t="s">
        <v>19</v>
      </c>
      <c r="D18" s="19">
        <v>650</v>
      </c>
      <c r="E18" s="15">
        <v>105232774.74267036</v>
      </c>
      <c r="F18" s="15">
        <f t="shared" si="0"/>
        <v>161896.57652718516</v>
      </c>
      <c r="G18" s="15">
        <f t="shared" ca="1" si="1"/>
        <v>-145680.66811438336</v>
      </c>
      <c r="H18">
        <f t="shared" ca="1" si="2"/>
        <v>-94692434.274349183</v>
      </c>
      <c r="I18" s="16">
        <f t="shared" ca="1" si="3"/>
        <v>10540340.468321174</v>
      </c>
    </row>
    <row r="19" spans="3:9" x14ac:dyDescent="0.2">
      <c r="C19" s="11" t="s">
        <v>20</v>
      </c>
      <c r="D19" s="19">
        <v>856</v>
      </c>
      <c r="E19" s="15">
        <v>103890511.809643</v>
      </c>
      <c r="F19" s="15">
        <f t="shared" si="0"/>
        <v>121367.42033836799</v>
      </c>
      <c r="G19" s="15">
        <f t="shared" ca="1" si="1"/>
        <v>1259.7323895326952</v>
      </c>
      <c r="H19">
        <f t="shared" ca="1" si="2"/>
        <v>1078330.9254399871</v>
      </c>
      <c r="I19" s="16">
        <f t="shared" ca="1" si="3"/>
        <v>104968842.73508298</v>
      </c>
    </row>
    <row r="20" spans="3:9" x14ac:dyDescent="0.2">
      <c r="C20" s="11" t="s">
        <v>21</v>
      </c>
      <c r="D20" s="19">
        <v>450</v>
      </c>
      <c r="E20" s="15">
        <v>57389529.201200463</v>
      </c>
      <c r="F20" s="15">
        <f t="shared" si="0"/>
        <v>127532.2871137788</v>
      </c>
      <c r="G20" s="15">
        <f t="shared" ca="1" si="1"/>
        <v>-112654.2703780921</v>
      </c>
      <c r="H20">
        <f t="shared" ca="1" si="2"/>
        <v>-50694421.670141444</v>
      </c>
      <c r="I20" s="16">
        <f t="shared" ca="1" si="3"/>
        <v>6695107.5310590193</v>
      </c>
    </row>
    <row r="21" spans="3:9" x14ac:dyDescent="0.2">
      <c r="C21" s="11" t="s">
        <v>22</v>
      </c>
      <c r="D21" s="19">
        <v>80</v>
      </c>
      <c r="E21" s="15">
        <v>5793781.938292399</v>
      </c>
      <c r="F21" s="15">
        <f t="shared" si="0"/>
        <v>72422.274228654991</v>
      </c>
      <c r="G21" s="15">
        <f t="shared" ca="1" si="1"/>
        <v>20573.386807635088</v>
      </c>
      <c r="H21">
        <f t="shared" ca="1" si="2"/>
        <v>1645870.9446108071</v>
      </c>
      <c r="I21" s="16">
        <f t="shared" ca="1" si="3"/>
        <v>7439652.8829032062</v>
      </c>
    </row>
    <row r="22" spans="3:9" x14ac:dyDescent="0.2">
      <c r="C22" s="11" t="s">
        <v>23</v>
      </c>
      <c r="D22" s="19">
        <v>580</v>
      </c>
      <c r="E22" s="15">
        <v>58762570.534418806</v>
      </c>
      <c r="F22" s="15">
        <f t="shared" si="0"/>
        <v>101314.7767834807</v>
      </c>
      <c r="G22" s="15">
        <f t="shared" ca="1" si="1"/>
        <v>13209.888245830392</v>
      </c>
      <c r="H22">
        <f t="shared" ca="1" si="2"/>
        <v>7661735.1825816277</v>
      </c>
      <c r="I22" s="16">
        <f t="shared" ca="1" si="3"/>
        <v>66424305.717000432</v>
      </c>
    </row>
    <row r="23" spans="3:9" x14ac:dyDescent="0.2">
      <c r="C23" s="11" t="s">
        <v>24</v>
      </c>
      <c r="D23" s="19">
        <v>56</v>
      </c>
      <c r="E23" s="15">
        <v>4829222.1141096409</v>
      </c>
      <c r="F23" s="15">
        <f t="shared" si="0"/>
        <v>86236.109180529296</v>
      </c>
      <c r="G23" s="15">
        <f t="shared" ca="1" si="1"/>
        <v>63958.305744682424</v>
      </c>
      <c r="H23">
        <f t="shared" ca="1" si="2"/>
        <v>3581665.1217022156</v>
      </c>
      <c r="I23" s="16">
        <f t="shared" ca="1" si="3"/>
        <v>8410887.2358118556</v>
      </c>
    </row>
    <row r="24" spans="3:9" x14ac:dyDescent="0.2">
      <c r="C24" s="11" t="s">
        <v>25</v>
      </c>
      <c r="D24" s="19">
        <v>26</v>
      </c>
      <c r="E24" s="15">
        <v>2537112.6595867253</v>
      </c>
      <c r="F24" s="15">
        <f t="shared" si="0"/>
        <v>97581.256137950972</v>
      </c>
      <c r="G24" s="15">
        <f t="shared" ca="1" si="1"/>
        <v>72268.706755606996</v>
      </c>
      <c r="H24">
        <f t="shared" ca="1" si="2"/>
        <v>1878986.3756457819</v>
      </c>
      <c r="I24" s="16">
        <f t="shared" ca="1" si="3"/>
        <v>4416099.0352325067</v>
      </c>
    </row>
    <row r="25" spans="3:9" x14ac:dyDescent="0.2">
      <c r="C25" s="11" t="s">
        <v>26</v>
      </c>
      <c r="D25" s="19">
        <v>105</v>
      </c>
      <c r="E25" s="15">
        <v>8999949.2271621414</v>
      </c>
      <c r="F25" s="15">
        <f t="shared" si="0"/>
        <v>85713.802163448971</v>
      </c>
      <c r="G25" s="15">
        <f t="shared" ca="1" si="1"/>
        <v>-44409.995982141401</v>
      </c>
      <c r="H25">
        <f t="shared" ca="1" si="2"/>
        <v>-4663049.5781248473</v>
      </c>
      <c r="I25" s="16">
        <f t="shared" ca="1" si="3"/>
        <v>4336899.6490372941</v>
      </c>
    </row>
    <row r="26" spans="3:9" x14ac:dyDescent="0.2">
      <c r="C26" s="11" t="s">
        <v>27</v>
      </c>
      <c r="D26" s="19">
        <v>25</v>
      </c>
      <c r="E26" s="15">
        <v>931906.15797934448</v>
      </c>
      <c r="F26" s="15">
        <f t="shared" si="0"/>
        <v>37276.246319173777</v>
      </c>
      <c r="G26" s="15">
        <f t="shared" ca="1" si="1"/>
        <v>4148.408331641047</v>
      </c>
      <c r="H26">
        <f t="shared" ca="1" si="2"/>
        <v>103710.20829102618</v>
      </c>
      <c r="I26" s="16">
        <f t="shared" ca="1" si="3"/>
        <v>1035616.3662703707</v>
      </c>
    </row>
    <row r="27" spans="3:9" x14ac:dyDescent="0.2">
      <c r="C27" s="11" t="s">
        <v>28</v>
      </c>
      <c r="D27" s="19">
        <v>35</v>
      </c>
      <c r="E27" s="15">
        <v>3285784.2630593712</v>
      </c>
      <c r="F27" s="15">
        <f t="shared" si="0"/>
        <v>93879.55037312489</v>
      </c>
      <c r="G27" s="15">
        <f t="shared" ca="1" si="1"/>
        <v>42600.901362757548</v>
      </c>
      <c r="H27">
        <f t="shared" ca="1" si="2"/>
        <v>1491031.5476965141</v>
      </c>
      <c r="I27" s="16">
        <f t="shared" ca="1" si="3"/>
        <v>4776815.8107558852</v>
      </c>
    </row>
    <row r="28" spans="3:9" x14ac:dyDescent="0.2">
      <c r="C28" s="11" t="s">
        <v>29</v>
      </c>
      <c r="D28" s="19">
        <v>152</v>
      </c>
      <c r="E28" s="15">
        <v>7791990.2972711641</v>
      </c>
      <c r="F28" s="15">
        <f t="shared" si="0"/>
        <v>51263.094060994503</v>
      </c>
      <c r="G28" s="15">
        <f t="shared" ca="1" si="1"/>
        <v>23501.097433694249</v>
      </c>
      <c r="H28">
        <f t="shared" ca="1" si="2"/>
        <v>3572166.8099215259</v>
      </c>
      <c r="I28" s="16">
        <f t="shared" ca="1" si="3"/>
        <v>11364157.10719269</v>
      </c>
    </row>
    <row r="29" spans="3:9" x14ac:dyDescent="0.2">
      <c r="I29" s="22">
        <f ca="1">SUM(I3:I28)</f>
        <v>815837159.39293432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sheetPr>
  <dimension ref="C2:J44"/>
  <sheetViews>
    <sheetView tabSelected="1" topLeftCell="A19" workbookViewId="0">
      <selection activeCell="A28" sqref="A28"/>
    </sheetView>
  </sheetViews>
  <sheetFormatPr defaultRowHeight="12.75" x14ac:dyDescent="0.2"/>
  <cols>
    <col min="4" max="4" width="10.85546875" bestFit="1" customWidth="1"/>
    <col min="5" max="5" width="19.28515625" bestFit="1" customWidth="1"/>
    <col min="6" max="6" width="15.140625" bestFit="1" customWidth="1"/>
    <col min="7" max="7" width="23" bestFit="1" customWidth="1"/>
    <col min="8" max="8" width="17.85546875" bestFit="1" customWidth="1"/>
    <col min="9" max="9" width="16.85546875" bestFit="1" customWidth="1"/>
    <col min="10" max="10" width="12.7109375" customWidth="1"/>
  </cols>
  <sheetData>
    <row r="2" spans="3:10" x14ac:dyDescent="0.2">
      <c r="C2" s="8" t="s">
        <v>0</v>
      </c>
      <c r="D2" s="9" t="s">
        <v>4</v>
      </c>
      <c r="E2" s="10" t="s">
        <v>5</v>
      </c>
      <c r="F2" s="7" t="s">
        <v>6</v>
      </c>
      <c r="G2" s="7" t="s">
        <v>33</v>
      </c>
      <c r="H2" s="7" t="s">
        <v>31</v>
      </c>
      <c r="I2" s="7" t="s">
        <v>32</v>
      </c>
      <c r="J2" s="7" t="s">
        <v>38</v>
      </c>
    </row>
    <row r="3" spans="3:10" x14ac:dyDescent="0.2">
      <c r="C3" s="11" t="s">
        <v>1</v>
      </c>
      <c r="D3" s="18">
        <v>200</v>
      </c>
      <c r="E3" s="15">
        <v>18727822.242285974</v>
      </c>
      <c r="F3" s="15">
        <f>E3/D3</f>
        <v>93639.111211429874</v>
      </c>
      <c r="G3" s="15">
        <f ca="1">RAND()*((-1)^INT(RAND()*10)*F3)</f>
        <v>-23106.714494354597</v>
      </c>
      <c r="H3">
        <f ca="1">G3*D3</f>
        <v>-4621342.8988709198</v>
      </c>
      <c r="I3" s="16">
        <f ca="1">H3+E3</f>
        <v>14106479.343415055</v>
      </c>
      <c r="J3" s="16">
        <f ca="1">(G3+F3)/8765</f>
        <v>8.0470503955590722</v>
      </c>
    </row>
    <row r="4" spans="3:10" x14ac:dyDescent="0.2">
      <c r="C4" s="11" t="s">
        <v>2</v>
      </c>
      <c r="D4" s="18">
        <v>300</v>
      </c>
      <c r="E4" s="15">
        <v>32159874.056343131</v>
      </c>
      <c r="F4" s="15">
        <f t="shared" ref="F4:F28" si="0">E4/D4</f>
        <v>107199.58018781044</v>
      </c>
      <c r="G4" s="15">
        <f t="shared" ref="G4:G28" ca="1" si="1">RAND()*((-1)^INT(RAND()*10)*F4)</f>
        <v>-102496.24121751628</v>
      </c>
      <c r="H4">
        <f t="shared" ref="H4:H28" ca="1" si="2">G4*D4</f>
        <v>-30748872.365254883</v>
      </c>
      <c r="I4" s="16">
        <f t="shared" ref="I4:I28" ca="1" si="3">H4+E4</f>
        <v>1411001.691088248</v>
      </c>
      <c r="J4" s="16">
        <f t="shared" ref="J4:J28" ca="1" si="4">(G4+F4)/8765</f>
        <v>0.53660456021610548</v>
      </c>
    </row>
    <row r="5" spans="3:10" x14ac:dyDescent="0.2">
      <c r="C5" s="11" t="s">
        <v>3</v>
      </c>
      <c r="D5" s="19">
        <v>400</v>
      </c>
      <c r="E5" s="15">
        <v>35985064.03375572</v>
      </c>
      <c r="F5" s="15">
        <f t="shared" si="0"/>
        <v>89962.660084389296</v>
      </c>
      <c r="G5" s="15">
        <f t="shared" ca="1" si="1"/>
        <v>-87731.927612453233</v>
      </c>
      <c r="H5">
        <f t="shared" ca="1" si="2"/>
        <v>-35092771.044981293</v>
      </c>
      <c r="I5" s="16">
        <f t="shared" ca="1" si="3"/>
        <v>892292.98877442628</v>
      </c>
      <c r="J5" s="16">
        <f t="shared" ca="1" si="4"/>
        <v>0.25450456040342978</v>
      </c>
    </row>
    <row r="6" spans="3:10" x14ac:dyDescent="0.2">
      <c r="C6" s="11" t="s">
        <v>7</v>
      </c>
      <c r="D6" s="19">
        <v>500</v>
      </c>
      <c r="E6" s="15">
        <v>68484162.133855969</v>
      </c>
      <c r="F6" s="15">
        <f t="shared" si="0"/>
        <v>136968.32426771193</v>
      </c>
      <c r="G6" s="15">
        <f t="shared" ca="1" si="1"/>
        <v>18570.507633336914</v>
      </c>
      <c r="H6">
        <f t="shared" ca="1" si="2"/>
        <v>9285253.8166684564</v>
      </c>
      <c r="I6" s="16">
        <f t="shared" ca="1" si="3"/>
        <v>77769415.95052442</v>
      </c>
      <c r="J6" s="16">
        <f t="shared" ca="1" si="4"/>
        <v>17.74544573885326</v>
      </c>
    </row>
    <row r="7" spans="3:10" x14ac:dyDescent="0.2">
      <c r="C7" s="11" t="s">
        <v>8</v>
      </c>
      <c r="D7" s="19">
        <v>600</v>
      </c>
      <c r="E7" s="15">
        <v>36036327.332516596</v>
      </c>
      <c r="F7" s="15">
        <f t="shared" si="0"/>
        <v>60060.545554194323</v>
      </c>
      <c r="G7" s="15">
        <f t="shared" ca="1" si="1"/>
        <v>9773.8305439255473</v>
      </c>
      <c r="H7">
        <f t="shared" ca="1" si="2"/>
        <v>5864298.3263553288</v>
      </c>
      <c r="I7" s="16">
        <f t="shared" ca="1" si="3"/>
        <v>41900625.658871926</v>
      </c>
      <c r="J7" s="16">
        <f t="shared" ca="1" si="4"/>
        <v>7.9674131315595975</v>
      </c>
    </row>
    <row r="8" spans="3:10" x14ac:dyDescent="0.2">
      <c r="C8" s="11" t="s">
        <v>9</v>
      </c>
      <c r="D8" s="19">
        <v>800</v>
      </c>
      <c r="E8" s="15">
        <v>143271571.23730153</v>
      </c>
      <c r="F8" s="15">
        <f t="shared" si="0"/>
        <v>179089.4640466269</v>
      </c>
      <c r="G8" s="15">
        <f t="shared" ca="1" si="1"/>
        <v>-55999.366470917594</v>
      </c>
      <c r="H8">
        <f t="shared" ca="1" si="2"/>
        <v>-44799493.176734075</v>
      </c>
      <c r="I8" s="16">
        <f t="shared" ca="1" si="3"/>
        <v>98472078.060567454</v>
      </c>
      <c r="J8" s="16">
        <f t="shared" ca="1" si="4"/>
        <v>14.043365382282865</v>
      </c>
    </row>
    <row r="9" spans="3:10" x14ac:dyDescent="0.2">
      <c r="C9" s="11" t="s">
        <v>10</v>
      </c>
      <c r="D9" s="19">
        <v>100</v>
      </c>
      <c r="E9" s="15">
        <v>9242362.2195294127</v>
      </c>
      <c r="F9" s="15">
        <f t="shared" si="0"/>
        <v>92423.622195294127</v>
      </c>
      <c r="G9" s="15">
        <f t="shared" ca="1" si="1"/>
        <v>28999.333638328728</v>
      </c>
      <c r="H9">
        <f t="shared" ca="1" si="2"/>
        <v>2899933.3638328728</v>
      </c>
      <c r="I9" s="16">
        <f t="shared" ca="1" si="3"/>
        <v>12142295.583362285</v>
      </c>
      <c r="J9" s="16">
        <f t="shared" ca="1" si="4"/>
        <v>13.853160962193138</v>
      </c>
    </row>
    <row r="10" spans="3:10" x14ac:dyDescent="0.2">
      <c r="C10" s="11" t="s">
        <v>11</v>
      </c>
      <c r="D10" s="19">
        <v>500</v>
      </c>
      <c r="E10" s="15">
        <v>63283626.458366945</v>
      </c>
      <c r="F10" s="15">
        <f t="shared" si="0"/>
        <v>126567.25291673389</v>
      </c>
      <c r="G10" s="15">
        <f t="shared" ca="1" si="1"/>
        <v>95707.767713593261</v>
      </c>
      <c r="H10">
        <f t="shared" ca="1" si="2"/>
        <v>47853883.85679663</v>
      </c>
      <c r="I10" s="16">
        <f t="shared" ca="1" si="3"/>
        <v>111137510.31516358</v>
      </c>
      <c r="J10" s="16">
        <f t="shared" ca="1" si="4"/>
        <v>25.359386267008233</v>
      </c>
    </row>
    <row r="11" spans="3:10" x14ac:dyDescent="0.2">
      <c r="C11" s="11" t="s">
        <v>12</v>
      </c>
      <c r="D11" s="19">
        <v>300</v>
      </c>
      <c r="E11" s="15">
        <v>38598281.023076579</v>
      </c>
      <c r="F11" s="15">
        <f t="shared" si="0"/>
        <v>128660.93674358859</v>
      </c>
      <c r="G11" s="15">
        <f t="shared" ca="1" si="1"/>
        <v>-43595.474144036285</v>
      </c>
      <c r="H11">
        <f t="shared" ca="1" si="2"/>
        <v>-13078642.243210886</v>
      </c>
      <c r="I11" s="16">
        <f t="shared" ca="1" si="3"/>
        <v>25519638.779865693</v>
      </c>
      <c r="J11" s="16">
        <f t="shared" ca="1" si="4"/>
        <v>9.7051297888821804</v>
      </c>
    </row>
    <row r="12" spans="3:10" x14ac:dyDescent="0.2">
      <c r="C12" s="11" t="s">
        <v>13</v>
      </c>
      <c r="D12" s="19">
        <v>400</v>
      </c>
      <c r="E12" s="15">
        <v>26862998.932339177</v>
      </c>
      <c r="F12" s="15">
        <f t="shared" si="0"/>
        <v>67157.497330847938</v>
      </c>
      <c r="G12" s="15">
        <f t="shared" ca="1" si="1"/>
        <v>22867.311923720757</v>
      </c>
      <c r="H12">
        <f t="shared" ca="1" si="2"/>
        <v>9146924.769488303</v>
      </c>
      <c r="I12" s="16">
        <f t="shared" ca="1" si="3"/>
        <v>36009923.701827481</v>
      </c>
      <c r="J12" s="16">
        <f t="shared" ca="1" si="4"/>
        <v>10.270942299437387</v>
      </c>
    </row>
    <row r="13" spans="3:10" x14ac:dyDescent="0.2">
      <c r="C13" s="11" t="s">
        <v>14</v>
      </c>
      <c r="D13" s="19">
        <v>600</v>
      </c>
      <c r="E13" s="15">
        <v>75398953.649308294</v>
      </c>
      <c r="F13" s="15">
        <f t="shared" si="0"/>
        <v>125664.92274884715</v>
      </c>
      <c r="G13" s="15">
        <f t="shared" ca="1" si="1"/>
        <v>-12659.262299618302</v>
      </c>
      <c r="H13">
        <f t="shared" ca="1" si="2"/>
        <v>-7595557.3797709811</v>
      </c>
      <c r="I13" s="16">
        <f t="shared" ca="1" si="3"/>
        <v>67803396.269537315</v>
      </c>
      <c r="J13" s="16">
        <f t="shared" ca="1" si="4"/>
        <v>12.89283062740774</v>
      </c>
    </row>
    <row r="14" spans="3:10" x14ac:dyDescent="0.2">
      <c r="C14" s="11" t="s">
        <v>15</v>
      </c>
      <c r="D14" s="19">
        <v>500</v>
      </c>
      <c r="E14" s="15">
        <v>34590724.814829521</v>
      </c>
      <c r="F14" s="15">
        <f t="shared" si="0"/>
        <v>69181.449629659037</v>
      </c>
      <c r="G14" s="15">
        <f t="shared" ca="1" si="1"/>
        <v>28159.581670081108</v>
      </c>
      <c r="H14">
        <f t="shared" ca="1" si="2"/>
        <v>14079790.835040554</v>
      </c>
      <c r="I14" s="16">
        <f t="shared" ca="1" si="3"/>
        <v>48670515.649870075</v>
      </c>
      <c r="J14" s="16">
        <f t="shared" ca="1" si="4"/>
        <v>11.10565103248604</v>
      </c>
    </row>
    <row r="15" spans="3:10" x14ac:dyDescent="0.2">
      <c r="C15" s="11" t="s">
        <v>16</v>
      </c>
      <c r="D15" s="19">
        <v>200</v>
      </c>
      <c r="E15" s="15">
        <v>21674683.425906841</v>
      </c>
      <c r="F15" s="15">
        <f t="shared" si="0"/>
        <v>108373.41712953421</v>
      </c>
      <c r="G15" s="15">
        <f t="shared" ca="1" si="1"/>
        <v>62441.405016371347</v>
      </c>
      <c r="H15">
        <f t="shared" ca="1" si="2"/>
        <v>12488281.003274269</v>
      </c>
      <c r="I15" s="16">
        <f t="shared" ca="1" si="3"/>
        <v>34162964.429181114</v>
      </c>
      <c r="J15" s="16">
        <f t="shared" ca="1" si="4"/>
        <v>19.488285470154654</v>
      </c>
    </row>
    <row r="16" spans="3:10" x14ac:dyDescent="0.2">
      <c r="C16" s="11" t="s">
        <v>17</v>
      </c>
      <c r="D16" s="19">
        <v>250</v>
      </c>
      <c r="E16" s="15">
        <v>16849727.167757481</v>
      </c>
      <c r="F16" s="15">
        <f t="shared" si="0"/>
        <v>67398.908671029931</v>
      </c>
      <c r="G16" s="15">
        <f t="shared" ca="1" si="1"/>
        <v>19690.786822986491</v>
      </c>
      <c r="H16">
        <f t="shared" ca="1" si="2"/>
        <v>4922696.7057466228</v>
      </c>
      <c r="I16" s="16">
        <f t="shared" ca="1" si="3"/>
        <v>21772423.873504102</v>
      </c>
      <c r="J16" s="16">
        <f t="shared" ca="1" si="4"/>
        <v>9.936074785398338</v>
      </c>
    </row>
    <row r="17" spans="3:10" x14ac:dyDescent="0.2">
      <c r="C17" s="11" t="s">
        <v>18</v>
      </c>
      <c r="D17" s="19">
        <v>130</v>
      </c>
      <c r="E17" s="15">
        <v>3805139.4619479724</v>
      </c>
      <c r="F17" s="15">
        <f t="shared" si="0"/>
        <v>29270.303553445941</v>
      </c>
      <c r="G17" s="15">
        <f t="shared" ca="1" si="1"/>
        <v>-26560.673616498403</v>
      </c>
      <c r="H17">
        <f t="shared" ca="1" si="2"/>
        <v>-3452887.5701447926</v>
      </c>
      <c r="I17" s="16">
        <f t="shared" ca="1" si="3"/>
        <v>352251.89180317987</v>
      </c>
      <c r="J17" s="16">
        <f t="shared" ca="1" si="4"/>
        <v>0.3091420350196849</v>
      </c>
    </row>
    <row r="18" spans="3:10" x14ac:dyDescent="0.2">
      <c r="C18" s="11" t="s">
        <v>19</v>
      </c>
      <c r="D18" s="19">
        <v>650</v>
      </c>
      <c r="E18" s="15">
        <v>105232774.74267036</v>
      </c>
      <c r="F18" s="15">
        <f t="shared" si="0"/>
        <v>161896.57652718516</v>
      </c>
      <c r="G18" s="15">
        <f t="shared" ca="1" si="1"/>
        <v>-98954.490765448121</v>
      </c>
      <c r="H18">
        <f t="shared" ca="1" si="2"/>
        <v>-64320418.997541279</v>
      </c>
      <c r="I18" s="16">
        <f t="shared" ca="1" si="3"/>
        <v>40912355.745129079</v>
      </c>
      <c r="J18" s="16">
        <f t="shared" ca="1" si="4"/>
        <v>7.1810708227880244</v>
      </c>
    </row>
    <row r="19" spans="3:10" x14ac:dyDescent="0.2">
      <c r="C19" s="11" t="s">
        <v>20</v>
      </c>
      <c r="D19" s="19">
        <v>856</v>
      </c>
      <c r="E19" s="15">
        <v>103890511.809643</v>
      </c>
      <c r="F19" s="15">
        <f t="shared" si="0"/>
        <v>121367.42033836799</v>
      </c>
      <c r="G19" s="15">
        <f t="shared" ca="1" si="1"/>
        <v>-101441.34686518041</v>
      </c>
      <c r="H19">
        <f t="shared" ca="1" si="2"/>
        <v>-86833792.916594431</v>
      </c>
      <c r="I19" s="16">
        <f t="shared" ca="1" si="3"/>
        <v>17056718.89304857</v>
      </c>
      <c r="J19" s="16">
        <f t="shared" ca="1" si="4"/>
        <v>2.2733683369295576</v>
      </c>
    </row>
    <row r="20" spans="3:10" x14ac:dyDescent="0.2">
      <c r="C20" s="11" t="s">
        <v>21</v>
      </c>
      <c r="D20" s="19">
        <v>450</v>
      </c>
      <c r="E20" s="15">
        <v>57389529.201200463</v>
      </c>
      <c r="F20" s="15">
        <f t="shared" si="0"/>
        <v>127532.2871137788</v>
      </c>
      <c r="G20" s="15">
        <f t="shared" ca="1" si="1"/>
        <v>-36826.200872893322</v>
      </c>
      <c r="H20">
        <f t="shared" ca="1" si="2"/>
        <v>-16571790.392801994</v>
      </c>
      <c r="I20" s="16">
        <f t="shared" ca="1" si="3"/>
        <v>40817738.80839847</v>
      </c>
      <c r="J20" s="16">
        <f t="shared" ca="1" si="4"/>
        <v>10.348669280192297</v>
      </c>
    </row>
    <row r="21" spans="3:10" x14ac:dyDescent="0.2">
      <c r="C21" s="11" t="s">
        <v>22</v>
      </c>
      <c r="D21" s="19">
        <v>80</v>
      </c>
      <c r="E21" s="15">
        <v>5793781.938292399</v>
      </c>
      <c r="F21" s="15">
        <f t="shared" si="0"/>
        <v>72422.274228654991</v>
      </c>
      <c r="G21" s="15">
        <f t="shared" ca="1" si="1"/>
        <v>-66157.074784530472</v>
      </c>
      <c r="H21">
        <f t="shared" ca="1" si="2"/>
        <v>-5292565.9827624373</v>
      </c>
      <c r="I21" s="16">
        <f t="shared" ca="1" si="3"/>
        <v>501215.95552996174</v>
      </c>
      <c r="J21" s="16">
        <f t="shared" ca="1" si="4"/>
        <v>0.71479742659720691</v>
      </c>
    </row>
    <row r="22" spans="3:10" x14ac:dyDescent="0.2">
      <c r="C22" s="11" t="s">
        <v>23</v>
      </c>
      <c r="D22" s="19">
        <v>580</v>
      </c>
      <c r="E22" s="15">
        <v>58762570.534418806</v>
      </c>
      <c r="F22" s="15">
        <f t="shared" si="0"/>
        <v>101314.7767834807</v>
      </c>
      <c r="G22" s="15">
        <f t="shared" ca="1" si="1"/>
        <v>66641.234991149191</v>
      </c>
      <c r="H22">
        <f t="shared" ca="1" si="2"/>
        <v>38651916.294866532</v>
      </c>
      <c r="I22" s="16">
        <f t="shared" ca="1" si="3"/>
        <v>97414486.829285339</v>
      </c>
      <c r="J22" s="16">
        <f t="shared" ca="1" si="4"/>
        <v>19.162123419809454</v>
      </c>
    </row>
    <row r="23" spans="3:10" x14ac:dyDescent="0.2">
      <c r="C23" s="11" t="s">
        <v>24</v>
      </c>
      <c r="D23" s="19">
        <v>56</v>
      </c>
      <c r="E23" s="15">
        <v>4829222.1141096409</v>
      </c>
      <c r="F23" s="15">
        <f t="shared" si="0"/>
        <v>86236.109180529296</v>
      </c>
      <c r="G23" s="15">
        <f t="shared" ca="1" si="1"/>
        <v>-28125.220493068984</v>
      </c>
      <c r="H23">
        <f t="shared" ca="1" si="2"/>
        <v>-1575012.3476118632</v>
      </c>
      <c r="I23" s="16">
        <f t="shared" ca="1" si="3"/>
        <v>3254209.7664977778</v>
      </c>
      <c r="J23" s="16">
        <f t="shared" ca="1" si="4"/>
        <v>6.6298789147130988</v>
      </c>
    </row>
    <row r="24" spans="3:10" x14ac:dyDescent="0.2">
      <c r="C24" s="11" t="s">
        <v>25</v>
      </c>
      <c r="D24" s="19">
        <v>26</v>
      </c>
      <c r="E24" s="15">
        <v>2537112.6595867253</v>
      </c>
      <c r="F24" s="15">
        <f t="shared" si="0"/>
        <v>97581.256137950972</v>
      </c>
      <c r="G24" s="15">
        <f t="shared" ca="1" si="1"/>
        <v>77066.835784525945</v>
      </c>
      <c r="H24">
        <f t="shared" ca="1" si="2"/>
        <v>2003737.7303976745</v>
      </c>
      <c r="I24" s="16">
        <f t="shared" ca="1" si="3"/>
        <v>4540850.3899844</v>
      </c>
      <c r="J24" s="16">
        <f t="shared" ca="1" si="4"/>
        <v>19.925623721902671</v>
      </c>
    </row>
    <row r="25" spans="3:10" x14ac:dyDescent="0.2">
      <c r="C25" s="11" t="s">
        <v>26</v>
      </c>
      <c r="D25" s="19">
        <v>105</v>
      </c>
      <c r="E25" s="15">
        <v>8999949.2271621414</v>
      </c>
      <c r="F25" s="15">
        <f t="shared" si="0"/>
        <v>85713.802163448971</v>
      </c>
      <c r="G25" s="15">
        <f t="shared" ca="1" si="1"/>
        <v>-45996.550228039545</v>
      </c>
      <c r="H25">
        <f t="shared" ca="1" si="2"/>
        <v>-4829637.7739441525</v>
      </c>
      <c r="I25" s="16">
        <f t="shared" ca="1" si="3"/>
        <v>4170311.4532179888</v>
      </c>
      <c r="J25" s="16">
        <f t="shared" ca="1" si="4"/>
        <v>4.5313464843593181</v>
      </c>
    </row>
    <row r="26" spans="3:10" x14ac:dyDescent="0.2">
      <c r="C26" s="11" t="s">
        <v>27</v>
      </c>
      <c r="D26" s="19">
        <v>25</v>
      </c>
      <c r="E26" s="15">
        <v>931906.15797934448</v>
      </c>
      <c r="F26" s="15">
        <f t="shared" si="0"/>
        <v>37276.246319173777</v>
      </c>
      <c r="G26" s="15">
        <f t="shared" ca="1" si="1"/>
        <v>28462.463053223175</v>
      </c>
      <c r="H26">
        <f t="shared" ca="1" si="2"/>
        <v>711561.57633057935</v>
      </c>
      <c r="I26" s="16">
        <f t="shared" ca="1" si="3"/>
        <v>1643467.7343099238</v>
      </c>
      <c r="J26" s="16">
        <f t="shared" ca="1" si="4"/>
        <v>7.5001379774554433</v>
      </c>
    </row>
    <row r="27" spans="3:10" x14ac:dyDescent="0.2">
      <c r="C27" s="11" t="s">
        <v>28</v>
      </c>
      <c r="D27" s="19">
        <v>35</v>
      </c>
      <c r="E27" s="15">
        <v>3285784.2630593712</v>
      </c>
      <c r="F27" s="15">
        <f t="shared" si="0"/>
        <v>93879.55037312489</v>
      </c>
      <c r="G27" s="15">
        <f t="shared" ca="1" si="1"/>
        <v>-41675.037981354792</v>
      </c>
      <c r="H27">
        <f t="shared" ca="1" si="2"/>
        <v>-1458626.3293474177</v>
      </c>
      <c r="I27" s="16">
        <f t="shared" ca="1" si="3"/>
        <v>1827157.9337119535</v>
      </c>
      <c r="J27" s="16">
        <f t="shared" ca="1" si="4"/>
        <v>5.9560196681996693</v>
      </c>
    </row>
    <row r="28" spans="3:10" x14ac:dyDescent="0.2">
      <c r="C28" s="11" t="s">
        <v>29</v>
      </c>
      <c r="D28" s="19">
        <v>152</v>
      </c>
      <c r="E28" s="15">
        <v>7791990.2972711641</v>
      </c>
      <c r="F28" s="15">
        <f t="shared" si="0"/>
        <v>51263.094060994503</v>
      </c>
      <c r="G28" s="15">
        <f t="shared" ca="1" si="1"/>
        <v>-42774.177487921348</v>
      </c>
      <c r="H28">
        <f t="shared" ca="1" si="2"/>
        <v>-6501674.9781640451</v>
      </c>
      <c r="I28" s="16">
        <f t="shared" ca="1" si="3"/>
        <v>1290315.319107119</v>
      </c>
      <c r="J28" s="16">
        <f t="shared" ca="1" si="4"/>
        <v>0.96850160559876264</v>
      </c>
    </row>
    <row r="29" spans="3:10" x14ac:dyDescent="0.2">
      <c r="I29" s="22">
        <f ca="1">SUM(I3:I28)</f>
        <v>805551643.01557696</v>
      </c>
    </row>
    <row r="31" spans="3:10" ht="13.5" thickBot="1" x14ac:dyDescent="0.25"/>
    <row r="32" spans="3:10" x14ac:dyDescent="0.2">
      <c r="H32" s="23" t="s">
        <v>34</v>
      </c>
      <c r="I32" s="24"/>
    </row>
    <row r="33" spans="8:9" x14ac:dyDescent="0.2">
      <c r="H33" s="25" t="s">
        <v>4</v>
      </c>
      <c r="I33" s="26">
        <v>350</v>
      </c>
    </row>
    <row r="34" spans="8:9" ht="13.5" thickBot="1" x14ac:dyDescent="0.25">
      <c r="H34" s="27" t="s">
        <v>35</v>
      </c>
      <c r="I34" s="28">
        <f>85.858*I33+67807</f>
        <v>97857.3</v>
      </c>
    </row>
    <row r="35" spans="8:9" ht="13.5" thickBot="1" x14ac:dyDescent="0.25"/>
    <row r="36" spans="8:9" ht="13.5" thickBot="1" x14ac:dyDescent="0.25">
      <c r="H36" s="29" t="s">
        <v>36</v>
      </c>
      <c r="I36" s="33" t="s">
        <v>37</v>
      </c>
    </row>
    <row r="37" spans="8:9" x14ac:dyDescent="0.2">
      <c r="H37" s="29"/>
      <c r="I37" s="32"/>
    </row>
    <row r="38" spans="8:9" ht="13.5" thickBot="1" x14ac:dyDescent="0.25">
      <c r="H38" s="30"/>
      <c r="I38" s="31"/>
    </row>
    <row r="39" spans="8:9" ht="15" x14ac:dyDescent="0.25">
      <c r="H39" s="34"/>
      <c r="I39" s="34"/>
    </row>
    <row r="40" spans="8:9" ht="15" x14ac:dyDescent="0.25">
      <c r="H40" s="34"/>
      <c r="I40" s="34"/>
    </row>
    <row r="41" spans="8:9" ht="15" x14ac:dyDescent="0.25">
      <c r="H41" s="34"/>
      <c r="I41" s="34"/>
    </row>
    <row r="42" spans="8:9" ht="15" x14ac:dyDescent="0.25">
      <c r="H42" s="34"/>
      <c r="I42" s="34"/>
    </row>
    <row r="43" spans="8:9" ht="15" x14ac:dyDescent="0.25">
      <c r="H43" s="34"/>
      <c r="I43" s="34"/>
    </row>
    <row r="44" spans="8:9" ht="15" x14ac:dyDescent="0.25">
      <c r="H44" s="34"/>
      <c r="I44" s="3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Start Here</vt:lpstr>
      <vt:lpstr>Step 1</vt:lpstr>
      <vt:lpstr>Step 2</vt:lpstr>
      <vt:lpstr>Step 3</vt:lpstr>
      <vt:lpstr>Step 4</vt:lpstr>
      <vt:lpstr>Step 5</vt:lpstr>
      <vt:lpstr>Step 6</vt:lpstr>
      <vt:lpstr>Step 7</vt:lpstr>
    </vt:vector>
  </TitlesOfParts>
  <Company>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c:creator>
  <cp:lastModifiedBy>Dan</cp:lastModifiedBy>
  <dcterms:created xsi:type="dcterms:W3CDTF">2004-12-24T15:58:10Z</dcterms:created>
  <dcterms:modified xsi:type="dcterms:W3CDTF">2015-08-10T17:43:19Z</dcterms:modified>
</cp:coreProperties>
</file>